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uz.demir\Desktop\C-PACES FINANCE PROJE\"/>
    </mc:Choice>
  </mc:AlternateContent>
  <xr:revisionPtr revIDLastSave="0" documentId="13_ncr:1_{9FF5D140-1DC0-4572-A0DC-122F36BCF91B}" xr6:coauthVersionLast="47" xr6:coauthVersionMax="47" xr10:uidLastSave="{00000000-0000-0000-0000-000000000000}"/>
  <bookViews>
    <workbookView xWindow="-120" yWindow="-120" windowWidth="29040" windowHeight="15840" xr2:uid="{2E655D80-A154-4AB2-9D13-CBF825A8F07A}"/>
  </bookViews>
  <sheets>
    <sheet name="Sayf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81" i="1" l="1"/>
  <c r="AI581" i="1"/>
  <c r="AF581" i="1"/>
  <c r="AC581" i="1"/>
  <c r="Z581" i="1"/>
  <c r="W581" i="1"/>
  <c r="T581" i="1"/>
  <c r="Q581" i="1"/>
  <c r="N581" i="1"/>
  <c r="K581" i="1"/>
  <c r="H581" i="1"/>
  <c r="E581" i="1"/>
  <c r="AL580" i="1"/>
  <c r="AI580" i="1"/>
  <c r="AF580" i="1"/>
  <c r="AC580" i="1"/>
  <c r="Z580" i="1"/>
  <c r="W580" i="1"/>
  <c r="T580" i="1"/>
  <c r="Q580" i="1"/>
  <c r="N580" i="1"/>
  <c r="K580" i="1"/>
  <c r="H580" i="1"/>
  <c r="E580" i="1"/>
  <c r="AL578" i="1"/>
  <c r="AI578" i="1"/>
  <c r="AF578" i="1"/>
  <c r="AC578" i="1"/>
  <c r="Z578" i="1"/>
  <c r="W578" i="1"/>
  <c r="T578" i="1"/>
  <c r="Q578" i="1"/>
  <c r="N578" i="1"/>
  <c r="K578" i="1"/>
  <c r="H578" i="1"/>
  <c r="E578" i="1"/>
  <c r="AL577" i="1"/>
  <c r="Z576" i="1"/>
  <c r="Q576" i="1"/>
  <c r="H576" i="1"/>
  <c r="E576" i="1"/>
  <c r="AL575" i="1"/>
  <c r="AL571" i="1"/>
  <c r="AI571" i="1"/>
  <c r="AI577" i="1" s="1"/>
  <c r="AF571" i="1"/>
  <c r="AF577" i="1" s="1"/>
  <c r="AC571" i="1"/>
  <c r="AC577" i="1" s="1"/>
  <c r="Z571" i="1"/>
  <c r="Z577" i="1" s="1"/>
  <c r="W571" i="1"/>
  <c r="W577" i="1" s="1"/>
  <c r="T571" i="1"/>
  <c r="T577" i="1" s="1"/>
  <c r="Q571" i="1"/>
  <c r="Q577" i="1" s="1"/>
  <c r="N571" i="1"/>
  <c r="N577" i="1" s="1"/>
  <c r="K571" i="1"/>
  <c r="K577" i="1" s="1"/>
  <c r="H571" i="1"/>
  <c r="H577" i="1" s="1"/>
  <c r="E571" i="1"/>
  <c r="E577" i="1" s="1"/>
  <c r="AL570" i="1"/>
  <c r="AL576" i="1" s="1"/>
  <c r="AI570" i="1"/>
  <c r="AI576" i="1" s="1"/>
  <c r="AF570" i="1"/>
  <c r="AF576" i="1" s="1"/>
  <c r="AC570" i="1"/>
  <c r="AC576" i="1" s="1"/>
  <c r="Z570" i="1"/>
  <c r="W570" i="1"/>
  <c r="W576" i="1" s="1"/>
  <c r="T570" i="1"/>
  <c r="T576" i="1" s="1"/>
  <c r="Q570" i="1"/>
  <c r="N570" i="1"/>
  <c r="N576" i="1" s="1"/>
  <c r="K570" i="1"/>
  <c r="K576" i="1" s="1"/>
  <c r="H570" i="1"/>
  <c r="E570" i="1"/>
  <c r="AL569" i="1"/>
  <c r="AI569" i="1"/>
  <c r="AI575" i="1" s="1"/>
  <c r="AF569" i="1"/>
  <c r="AF575" i="1" s="1"/>
  <c r="AC569" i="1"/>
  <c r="AC575" i="1" s="1"/>
  <c r="Z569" i="1"/>
  <c r="Z575" i="1" s="1"/>
  <c r="W569" i="1"/>
  <c r="W575" i="1" s="1"/>
  <c r="T569" i="1"/>
  <c r="T575" i="1" s="1"/>
  <c r="Q569" i="1"/>
  <c r="Q575" i="1" s="1"/>
  <c r="N569" i="1"/>
  <c r="N575" i="1" s="1"/>
  <c r="K569" i="1"/>
  <c r="K575" i="1" s="1"/>
  <c r="H569" i="1"/>
  <c r="H575" i="1" s="1"/>
  <c r="E569" i="1"/>
  <c r="E575" i="1" s="1"/>
  <c r="AL566" i="1"/>
  <c r="AI566" i="1"/>
  <c r="AF566" i="1"/>
  <c r="AC566" i="1"/>
  <c r="Z566" i="1"/>
  <c r="W566" i="1"/>
  <c r="T566" i="1"/>
  <c r="Q566" i="1"/>
  <c r="N566" i="1"/>
  <c r="K566" i="1"/>
  <c r="H566" i="1"/>
  <c r="E566" i="1"/>
  <c r="AL565" i="1"/>
  <c r="AI565" i="1"/>
  <c r="AF565" i="1"/>
  <c r="AF567" i="1" s="1"/>
  <c r="AC565" i="1"/>
  <c r="Z565" i="1"/>
  <c r="Z567" i="1" s="1"/>
  <c r="W565" i="1"/>
  <c r="T565" i="1"/>
  <c r="Q565" i="1"/>
  <c r="N565" i="1"/>
  <c r="K565" i="1"/>
  <c r="H565" i="1"/>
  <c r="E565" i="1"/>
  <c r="AL564" i="1"/>
  <c r="AL567" i="1" s="1"/>
  <c r="AI564" i="1"/>
  <c r="AF564" i="1"/>
  <c r="AC564" i="1"/>
  <c r="Z564" i="1"/>
  <c r="W564" i="1"/>
  <c r="T564" i="1"/>
  <c r="Q564" i="1"/>
  <c r="N564" i="1"/>
  <c r="K564" i="1"/>
  <c r="H564" i="1"/>
  <c r="E564" i="1"/>
  <c r="AL562" i="1"/>
  <c r="AI562" i="1"/>
  <c r="AF562" i="1"/>
  <c r="AC562" i="1"/>
  <c r="Z562" i="1"/>
  <c r="W562" i="1"/>
  <c r="T562" i="1"/>
  <c r="Q562" i="1"/>
  <c r="N562" i="1"/>
  <c r="K562" i="1"/>
  <c r="H562" i="1"/>
  <c r="E562" i="1"/>
  <c r="AL561" i="1"/>
  <c r="AI561" i="1"/>
  <c r="AF561" i="1"/>
  <c r="AC561" i="1"/>
  <c r="Z561" i="1"/>
  <c r="W561" i="1"/>
  <c r="T561" i="1"/>
  <c r="Q561" i="1"/>
  <c r="N561" i="1"/>
  <c r="K561" i="1"/>
  <c r="H561" i="1"/>
  <c r="E561" i="1"/>
  <c r="AL560" i="1"/>
  <c r="AI560" i="1"/>
  <c r="AF560" i="1"/>
  <c r="AC560" i="1"/>
  <c r="Z560" i="1"/>
  <c r="W560" i="1"/>
  <c r="T560" i="1"/>
  <c r="Q560" i="1"/>
  <c r="N560" i="1"/>
  <c r="K560" i="1"/>
  <c r="H560" i="1"/>
  <c r="E560" i="1"/>
  <c r="AL559" i="1"/>
  <c r="AL563" i="1" s="1"/>
  <c r="AI559" i="1"/>
  <c r="AF559" i="1"/>
  <c r="AC559" i="1"/>
  <c r="Z559" i="1"/>
  <c r="W559" i="1"/>
  <c r="T559" i="1"/>
  <c r="Q559" i="1"/>
  <c r="N559" i="1"/>
  <c r="K559" i="1"/>
  <c r="H559" i="1"/>
  <c r="E559" i="1"/>
  <c r="AL558" i="1"/>
  <c r="AI558" i="1"/>
  <c r="AF558" i="1"/>
  <c r="AC558" i="1"/>
  <c r="Z558" i="1"/>
  <c r="W558" i="1"/>
  <c r="T558" i="1"/>
  <c r="Q558" i="1"/>
  <c r="N558" i="1"/>
  <c r="K558" i="1"/>
  <c r="H558" i="1"/>
  <c r="E558" i="1"/>
  <c r="AL557" i="1"/>
  <c r="AI557" i="1"/>
  <c r="AF557" i="1"/>
  <c r="AC557" i="1"/>
  <c r="Z557" i="1"/>
  <c r="W557" i="1"/>
  <c r="T557" i="1"/>
  <c r="Q557" i="1"/>
  <c r="N557" i="1"/>
  <c r="K557" i="1"/>
  <c r="H557" i="1"/>
  <c r="E557" i="1"/>
  <c r="AL556" i="1"/>
  <c r="AI556" i="1"/>
  <c r="AF556" i="1"/>
  <c r="AC556" i="1"/>
  <c r="Z556" i="1"/>
  <c r="W556" i="1"/>
  <c r="T556" i="1"/>
  <c r="Q556" i="1"/>
  <c r="N556" i="1"/>
  <c r="K556" i="1"/>
  <c r="H556" i="1"/>
  <c r="E556" i="1"/>
  <c r="AL555" i="1"/>
  <c r="AI555" i="1"/>
  <c r="AF555" i="1"/>
  <c r="AC555" i="1"/>
  <c r="Z555" i="1"/>
  <c r="W555" i="1"/>
  <c r="T555" i="1"/>
  <c r="Q555" i="1"/>
  <c r="N555" i="1"/>
  <c r="K555" i="1"/>
  <c r="H555" i="1"/>
  <c r="E555" i="1"/>
  <c r="AL554" i="1"/>
  <c r="AI554" i="1"/>
  <c r="AF554" i="1"/>
  <c r="AC554" i="1"/>
  <c r="Z554" i="1"/>
  <c r="W554" i="1"/>
  <c r="T554" i="1"/>
  <c r="Q554" i="1"/>
  <c r="N554" i="1"/>
  <c r="K554" i="1"/>
  <c r="H554" i="1"/>
  <c r="E554" i="1"/>
  <c r="AL552" i="1"/>
  <c r="AI552" i="1"/>
  <c r="AF552" i="1"/>
  <c r="AC552" i="1"/>
  <c r="Z552" i="1"/>
  <c r="W552" i="1"/>
  <c r="T552" i="1"/>
  <c r="Q552" i="1"/>
  <c r="N552" i="1"/>
  <c r="K552" i="1"/>
  <c r="H552" i="1"/>
  <c r="E552" i="1"/>
  <c r="AL549" i="1"/>
  <c r="AI549" i="1"/>
  <c r="AF549" i="1"/>
  <c r="AC549" i="1"/>
  <c r="Z549" i="1"/>
  <c r="W549" i="1"/>
  <c r="T549" i="1"/>
  <c r="Q549" i="1"/>
  <c r="N549" i="1"/>
  <c r="K549" i="1"/>
  <c r="H549" i="1"/>
  <c r="E549" i="1"/>
  <c r="AL548" i="1"/>
  <c r="AI548" i="1"/>
  <c r="AF548" i="1"/>
  <c r="AC548" i="1"/>
  <c r="Z548" i="1"/>
  <c r="W548" i="1"/>
  <c r="T548" i="1"/>
  <c r="Q548" i="1"/>
  <c r="N548" i="1"/>
  <c r="K548" i="1"/>
  <c r="H548" i="1"/>
  <c r="E548" i="1"/>
  <c r="AL546" i="1"/>
  <c r="AI546" i="1"/>
  <c r="AF546" i="1"/>
  <c r="AC546" i="1"/>
  <c r="Z546" i="1"/>
  <c r="W546" i="1"/>
  <c r="T546" i="1"/>
  <c r="Q546" i="1"/>
  <c r="N546" i="1"/>
  <c r="K546" i="1"/>
  <c r="H546" i="1"/>
  <c r="E546" i="1"/>
  <c r="AF545" i="1"/>
  <c r="AC545" i="1"/>
  <c r="H545" i="1"/>
  <c r="AI544" i="1"/>
  <c r="AC544" i="1"/>
  <c r="T544" i="1"/>
  <c r="Q544" i="1"/>
  <c r="N544" i="1"/>
  <c r="H543" i="1"/>
  <c r="E543" i="1"/>
  <c r="AL539" i="1"/>
  <c r="AL545" i="1" s="1"/>
  <c r="AI539" i="1"/>
  <c r="AI545" i="1" s="1"/>
  <c r="AF539" i="1"/>
  <c r="AC539" i="1"/>
  <c r="Z539" i="1"/>
  <c r="Z545" i="1" s="1"/>
  <c r="W539" i="1"/>
  <c r="W545" i="1" s="1"/>
  <c r="T539" i="1"/>
  <c r="T545" i="1" s="1"/>
  <c r="Q539" i="1"/>
  <c r="Q545" i="1" s="1"/>
  <c r="N539" i="1"/>
  <c r="N545" i="1" s="1"/>
  <c r="K539" i="1"/>
  <c r="K545" i="1" s="1"/>
  <c r="H539" i="1"/>
  <c r="E539" i="1"/>
  <c r="E545" i="1" s="1"/>
  <c r="AL538" i="1"/>
  <c r="AL544" i="1" s="1"/>
  <c r="AI538" i="1"/>
  <c r="AF538" i="1"/>
  <c r="AF544" i="1" s="1"/>
  <c r="AC538" i="1"/>
  <c r="Z538" i="1"/>
  <c r="Z544" i="1" s="1"/>
  <c r="W538" i="1"/>
  <c r="W544" i="1" s="1"/>
  <c r="T538" i="1"/>
  <c r="Q538" i="1"/>
  <c r="N538" i="1"/>
  <c r="K538" i="1"/>
  <c r="K544" i="1" s="1"/>
  <c r="H538" i="1"/>
  <c r="H544" i="1" s="1"/>
  <c r="E538" i="1"/>
  <c r="E544" i="1" s="1"/>
  <c r="AL537" i="1"/>
  <c r="AL543" i="1" s="1"/>
  <c r="AI537" i="1"/>
  <c r="AI543" i="1" s="1"/>
  <c r="AF537" i="1"/>
  <c r="AF543" i="1" s="1"/>
  <c r="AC537" i="1"/>
  <c r="AC543" i="1" s="1"/>
  <c r="Z537" i="1"/>
  <c r="Z543" i="1" s="1"/>
  <c r="W537" i="1"/>
  <c r="W543" i="1" s="1"/>
  <c r="T537" i="1"/>
  <c r="T543" i="1" s="1"/>
  <c r="Q537" i="1"/>
  <c r="Q543" i="1" s="1"/>
  <c r="N537" i="1"/>
  <c r="N543" i="1" s="1"/>
  <c r="K537" i="1"/>
  <c r="K543" i="1" s="1"/>
  <c r="H537" i="1"/>
  <c r="E537" i="1"/>
  <c r="E535" i="1"/>
  <c r="AL534" i="1"/>
  <c r="AI534" i="1"/>
  <c r="AF534" i="1"/>
  <c r="AC534" i="1"/>
  <c r="Z534" i="1"/>
  <c r="W534" i="1"/>
  <c r="T534" i="1"/>
  <c r="Q534" i="1"/>
  <c r="N534" i="1"/>
  <c r="K534" i="1"/>
  <c r="H534" i="1"/>
  <c r="E534" i="1"/>
  <c r="AL533" i="1"/>
  <c r="AI533" i="1"/>
  <c r="AF533" i="1"/>
  <c r="AC533" i="1"/>
  <c r="Z533" i="1"/>
  <c r="W533" i="1"/>
  <c r="T533" i="1"/>
  <c r="T535" i="1" s="1"/>
  <c r="Q533" i="1"/>
  <c r="N533" i="1"/>
  <c r="K533" i="1"/>
  <c r="H533" i="1"/>
  <c r="E533" i="1"/>
  <c r="AL532" i="1"/>
  <c r="AI532" i="1"/>
  <c r="AF532" i="1"/>
  <c r="AF535" i="1" s="1"/>
  <c r="AC532" i="1"/>
  <c r="Z532" i="1"/>
  <c r="W532" i="1"/>
  <c r="T532" i="1"/>
  <c r="Q532" i="1"/>
  <c r="Q535" i="1" s="1"/>
  <c r="N532" i="1"/>
  <c r="K532" i="1"/>
  <c r="K535" i="1" s="1"/>
  <c r="H532" i="1"/>
  <c r="H535" i="1" s="1"/>
  <c r="E532" i="1"/>
  <c r="AL530" i="1"/>
  <c r="AI530" i="1"/>
  <c r="AF530" i="1"/>
  <c r="AC530" i="1"/>
  <c r="Z530" i="1"/>
  <c r="W530" i="1"/>
  <c r="T530" i="1"/>
  <c r="Q530" i="1"/>
  <c r="N530" i="1"/>
  <c r="K530" i="1"/>
  <c r="H530" i="1"/>
  <c r="E530" i="1"/>
  <c r="AL529" i="1"/>
  <c r="AI529" i="1"/>
  <c r="AF529" i="1"/>
  <c r="AC529" i="1"/>
  <c r="Z529" i="1"/>
  <c r="W529" i="1"/>
  <c r="T529" i="1"/>
  <c r="Q529" i="1"/>
  <c r="N529" i="1"/>
  <c r="K529" i="1"/>
  <c r="H529" i="1"/>
  <c r="E529" i="1"/>
  <c r="AL528" i="1"/>
  <c r="AI528" i="1"/>
  <c r="AF528" i="1"/>
  <c r="AC528" i="1"/>
  <c r="Z528" i="1"/>
  <c r="W528" i="1"/>
  <c r="T528" i="1"/>
  <c r="Q528" i="1"/>
  <c r="N528" i="1"/>
  <c r="K528" i="1"/>
  <c r="H528" i="1"/>
  <c r="E528" i="1"/>
  <c r="AL527" i="1"/>
  <c r="AI527" i="1"/>
  <c r="AF527" i="1"/>
  <c r="AC527" i="1"/>
  <c r="Z527" i="1"/>
  <c r="W527" i="1"/>
  <c r="T527" i="1"/>
  <c r="Q527" i="1"/>
  <c r="N527" i="1"/>
  <c r="N531" i="1" s="1"/>
  <c r="K527" i="1"/>
  <c r="K531" i="1" s="1"/>
  <c r="H527" i="1"/>
  <c r="H531" i="1" s="1"/>
  <c r="E527" i="1"/>
  <c r="AL526" i="1"/>
  <c r="AI526" i="1"/>
  <c r="AF526" i="1"/>
  <c r="AC526" i="1"/>
  <c r="Z526" i="1"/>
  <c r="W526" i="1"/>
  <c r="T526" i="1"/>
  <c r="Q526" i="1"/>
  <c r="N526" i="1"/>
  <c r="K526" i="1"/>
  <c r="H526" i="1"/>
  <c r="E526" i="1"/>
  <c r="AL525" i="1"/>
  <c r="AI525" i="1"/>
  <c r="AF525" i="1"/>
  <c r="AC525" i="1"/>
  <c r="Z525" i="1"/>
  <c r="W525" i="1"/>
  <c r="T525" i="1"/>
  <c r="Q525" i="1"/>
  <c r="N525" i="1"/>
  <c r="K525" i="1"/>
  <c r="H525" i="1"/>
  <c r="E525" i="1"/>
  <c r="AL524" i="1"/>
  <c r="AI524" i="1"/>
  <c r="AF524" i="1"/>
  <c r="AC524" i="1"/>
  <c r="Z524" i="1"/>
  <c r="W524" i="1"/>
  <c r="T524" i="1"/>
  <c r="Q524" i="1"/>
  <c r="N524" i="1"/>
  <c r="K524" i="1"/>
  <c r="H524" i="1"/>
  <c r="E524" i="1"/>
  <c r="AL523" i="1"/>
  <c r="AI523" i="1"/>
  <c r="AF523" i="1"/>
  <c r="AC523" i="1"/>
  <c r="Z523" i="1"/>
  <c r="W523" i="1"/>
  <c r="T523" i="1"/>
  <c r="Q523" i="1"/>
  <c r="N523" i="1"/>
  <c r="K523" i="1"/>
  <c r="H523" i="1"/>
  <c r="E523" i="1"/>
  <c r="AL522" i="1"/>
  <c r="AI522" i="1"/>
  <c r="AF522" i="1"/>
  <c r="AC522" i="1"/>
  <c r="Z522" i="1"/>
  <c r="W522" i="1"/>
  <c r="T522" i="1"/>
  <c r="Q522" i="1"/>
  <c r="N522" i="1"/>
  <c r="K522" i="1"/>
  <c r="H522" i="1"/>
  <c r="E522" i="1"/>
  <c r="AL520" i="1"/>
  <c r="AI520" i="1"/>
  <c r="AF520" i="1"/>
  <c r="AC520" i="1"/>
  <c r="Z520" i="1"/>
  <c r="W520" i="1"/>
  <c r="T520" i="1"/>
  <c r="Q520" i="1"/>
  <c r="N520" i="1"/>
  <c r="K520" i="1"/>
  <c r="H520" i="1"/>
  <c r="E520" i="1"/>
  <c r="AL517" i="1"/>
  <c r="AI517" i="1"/>
  <c r="AF517" i="1"/>
  <c r="AC517" i="1"/>
  <c r="Z517" i="1"/>
  <c r="W517" i="1"/>
  <c r="T517" i="1"/>
  <c r="Q517" i="1"/>
  <c r="N517" i="1"/>
  <c r="K517" i="1"/>
  <c r="H517" i="1"/>
  <c r="E517" i="1"/>
  <c r="AL516" i="1"/>
  <c r="AI516" i="1"/>
  <c r="AF516" i="1"/>
  <c r="AC516" i="1"/>
  <c r="Z516" i="1"/>
  <c r="W516" i="1"/>
  <c r="T516" i="1"/>
  <c r="Q516" i="1"/>
  <c r="N516" i="1"/>
  <c r="K516" i="1"/>
  <c r="H516" i="1"/>
  <c r="E516" i="1"/>
  <c r="AL514" i="1"/>
  <c r="AI514" i="1"/>
  <c r="AF514" i="1"/>
  <c r="AC514" i="1"/>
  <c r="Z514" i="1"/>
  <c r="W514" i="1"/>
  <c r="T514" i="1"/>
  <c r="Q514" i="1"/>
  <c r="N514" i="1"/>
  <c r="K514" i="1"/>
  <c r="H514" i="1"/>
  <c r="E514" i="1"/>
  <c r="AL513" i="1"/>
  <c r="N513" i="1"/>
  <c r="Q511" i="1"/>
  <c r="N511" i="1"/>
  <c r="AL507" i="1"/>
  <c r="AI507" i="1"/>
  <c r="AI513" i="1" s="1"/>
  <c r="AF507" i="1"/>
  <c r="AF513" i="1" s="1"/>
  <c r="AC507" i="1"/>
  <c r="AC513" i="1" s="1"/>
  <c r="Z507" i="1"/>
  <c r="Z513" i="1" s="1"/>
  <c r="W507" i="1"/>
  <c r="W513" i="1" s="1"/>
  <c r="T507" i="1"/>
  <c r="T513" i="1" s="1"/>
  <c r="Q507" i="1"/>
  <c r="Q513" i="1" s="1"/>
  <c r="N507" i="1"/>
  <c r="K507" i="1"/>
  <c r="K513" i="1" s="1"/>
  <c r="H507" i="1"/>
  <c r="H513" i="1" s="1"/>
  <c r="E507" i="1"/>
  <c r="E513" i="1" s="1"/>
  <c r="AL506" i="1"/>
  <c r="AL512" i="1" s="1"/>
  <c r="AI506" i="1"/>
  <c r="AI512" i="1" s="1"/>
  <c r="AF506" i="1"/>
  <c r="AF512" i="1" s="1"/>
  <c r="AC506" i="1"/>
  <c r="AC512" i="1" s="1"/>
  <c r="Z506" i="1"/>
  <c r="Z512" i="1" s="1"/>
  <c r="W506" i="1"/>
  <c r="W512" i="1" s="1"/>
  <c r="T506" i="1"/>
  <c r="T512" i="1" s="1"/>
  <c r="Q506" i="1"/>
  <c r="Q512" i="1" s="1"/>
  <c r="N506" i="1"/>
  <c r="N512" i="1" s="1"/>
  <c r="K506" i="1"/>
  <c r="K512" i="1" s="1"/>
  <c r="H506" i="1"/>
  <c r="H512" i="1" s="1"/>
  <c r="E506" i="1"/>
  <c r="E512" i="1" s="1"/>
  <c r="AL505" i="1"/>
  <c r="AL511" i="1" s="1"/>
  <c r="AI505" i="1"/>
  <c r="AI511" i="1" s="1"/>
  <c r="AF505" i="1"/>
  <c r="AF511" i="1" s="1"/>
  <c r="AC505" i="1"/>
  <c r="AC511" i="1" s="1"/>
  <c r="Z505" i="1"/>
  <c r="Z511" i="1" s="1"/>
  <c r="W505" i="1"/>
  <c r="W511" i="1" s="1"/>
  <c r="T505" i="1"/>
  <c r="T511" i="1" s="1"/>
  <c r="Q505" i="1"/>
  <c r="N505" i="1"/>
  <c r="K505" i="1"/>
  <c r="K511" i="1" s="1"/>
  <c r="H505" i="1"/>
  <c r="H511" i="1" s="1"/>
  <c r="E505" i="1"/>
  <c r="E511" i="1" s="1"/>
  <c r="AL502" i="1"/>
  <c r="AI502" i="1"/>
  <c r="AF502" i="1"/>
  <c r="AC502" i="1"/>
  <c r="Z502" i="1"/>
  <c r="W502" i="1"/>
  <c r="T502" i="1"/>
  <c r="Q502" i="1"/>
  <c r="N502" i="1"/>
  <c r="K502" i="1"/>
  <c r="K503" i="1" s="1"/>
  <c r="K504" i="1" s="1"/>
  <c r="H502" i="1"/>
  <c r="E502" i="1"/>
  <c r="AL501" i="1"/>
  <c r="AI501" i="1"/>
  <c r="AF501" i="1"/>
  <c r="AC501" i="1"/>
  <c r="Z501" i="1"/>
  <c r="W501" i="1"/>
  <c r="T501" i="1"/>
  <c r="Q501" i="1"/>
  <c r="N501" i="1"/>
  <c r="K501" i="1"/>
  <c r="H501" i="1"/>
  <c r="E501" i="1"/>
  <c r="AL500" i="1"/>
  <c r="AL503" i="1" s="1"/>
  <c r="AL504" i="1" s="1"/>
  <c r="AI500" i="1"/>
  <c r="AI503" i="1" s="1"/>
  <c r="AI504" i="1" s="1"/>
  <c r="AF500" i="1"/>
  <c r="AC500" i="1"/>
  <c r="AC503" i="1" s="1"/>
  <c r="Z500" i="1"/>
  <c r="W500" i="1"/>
  <c r="W503" i="1" s="1"/>
  <c r="T500" i="1"/>
  <c r="T503" i="1" s="1"/>
  <c r="Q500" i="1"/>
  <c r="Q503" i="1" s="1"/>
  <c r="N500" i="1"/>
  <c r="K500" i="1"/>
  <c r="H500" i="1"/>
  <c r="E500" i="1"/>
  <c r="AL498" i="1"/>
  <c r="AI498" i="1"/>
  <c r="AF498" i="1"/>
  <c r="AC498" i="1"/>
  <c r="Z498" i="1"/>
  <c r="W498" i="1"/>
  <c r="T498" i="1"/>
  <c r="Q498" i="1"/>
  <c r="N498" i="1"/>
  <c r="K498" i="1"/>
  <c r="H498" i="1"/>
  <c r="E498" i="1"/>
  <c r="AL497" i="1"/>
  <c r="AI497" i="1"/>
  <c r="AF497" i="1"/>
  <c r="AC497" i="1"/>
  <c r="Z497" i="1"/>
  <c r="W497" i="1"/>
  <c r="T497" i="1"/>
  <c r="Q497" i="1"/>
  <c r="N497" i="1"/>
  <c r="K497" i="1"/>
  <c r="H497" i="1"/>
  <c r="E497" i="1"/>
  <c r="AL496" i="1"/>
  <c r="AI496" i="1"/>
  <c r="AF496" i="1"/>
  <c r="AC496" i="1"/>
  <c r="Z496" i="1"/>
  <c r="W496" i="1"/>
  <c r="T496" i="1"/>
  <c r="Q496" i="1"/>
  <c r="N496" i="1"/>
  <c r="K496" i="1"/>
  <c r="H496" i="1"/>
  <c r="E496" i="1"/>
  <c r="AL495" i="1"/>
  <c r="AL499" i="1" s="1"/>
  <c r="AI495" i="1"/>
  <c r="AI499" i="1" s="1"/>
  <c r="AF495" i="1"/>
  <c r="AF499" i="1" s="1"/>
  <c r="AC495" i="1"/>
  <c r="Z495" i="1"/>
  <c r="W495" i="1"/>
  <c r="W499" i="1" s="1"/>
  <c r="T495" i="1"/>
  <c r="Q495" i="1"/>
  <c r="Q499" i="1" s="1"/>
  <c r="N495" i="1"/>
  <c r="K495" i="1"/>
  <c r="K499" i="1" s="1"/>
  <c r="H495" i="1"/>
  <c r="E495" i="1"/>
  <c r="AL494" i="1"/>
  <c r="AI494" i="1"/>
  <c r="AF494" i="1"/>
  <c r="AC494" i="1"/>
  <c r="Z494" i="1"/>
  <c r="W494" i="1"/>
  <c r="T494" i="1"/>
  <c r="Q494" i="1"/>
  <c r="N494" i="1"/>
  <c r="K494" i="1"/>
  <c r="H494" i="1"/>
  <c r="E494" i="1"/>
  <c r="AL493" i="1"/>
  <c r="AI493" i="1"/>
  <c r="AF493" i="1"/>
  <c r="AC493" i="1"/>
  <c r="Z493" i="1"/>
  <c r="W493" i="1"/>
  <c r="T493" i="1"/>
  <c r="Q493" i="1"/>
  <c r="N493" i="1"/>
  <c r="K493" i="1"/>
  <c r="H493" i="1"/>
  <c r="E493" i="1"/>
  <c r="AL492" i="1"/>
  <c r="AI492" i="1"/>
  <c r="AF492" i="1"/>
  <c r="AC492" i="1"/>
  <c r="Z492" i="1"/>
  <c r="W492" i="1"/>
  <c r="T492" i="1"/>
  <c r="Q492" i="1"/>
  <c r="N492" i="1"/>
  <c r="K492" i="1"/>
  <c r="H492" i="1"/>
  <c r="E492" i="1"/>
  <c r="AL491" i="1"/>
  <c r="AI491" i="1"/>
  <c r="AF491" i="1"/>
  <c r="AC491" i="1"/>
  <c r="Z491" i="1"/>
  <c r="W491" i="1"/>
  <c r="T491" i="1"/>
  <c r="Q491" i="1"/>
  <c r="N491" i="1"/>
  <c r="K491" i="1"/>
  <c r="H491" i="1"/>
  <c r="E491" i="1"/>
  <c r="AL490" i="1"/>
  <c r="AI490" i="1"/>
  <c r="AF490" i="1"/>
  <c r="AC490" i="1"/>
  <c r="Z490" i="1"/>
  <c r="W490" i="1"/>
  <c r="T490" i="1"/>
  <c r="Q490" i="1"/>
  <c r="N490" i="1"/>
  <c r="K490" i="1"/>
  <c r="H490" i="1"/>
  <c r="E490" i="1"/>
  <c r="AL488" i="1"/>
  <c r="AI488" i="1"/>
  <c r="AF488" i="1"/>
  <c r="AC488" i="1"/>
  <c r="Z488" i="1"/>
  <c r="W488" i="1"/>
  <c r="T488" i="1"/>
  <c r="Q488" i="1"/>
  <c r="N488" i="1"/>
  <c r="K488" i="1"/>
  <c r="H488" i="1"/>
  <c r="E488" i="1"/>
  <c r="AL485" i="1"/>
  <c r="AI485" i="1"/>
  <c r="AF485" i="1"/>
  <c r="AC485" i="1"/>
  <c r="Z485" i="1"/>
  <c r="W485" i="1"/>
  <c r="T485" i="1"/>
  <c r="Q485" i="1"/>
  <c r="N485" i="1"/>
  <c r="K485" i="1"/>
  <c r="H485" i="1"/>
  <c r="E485" i="1"/>
  <c r="AL484" i="1"/>
  <c r="AI484" i="1"/>
  <c r="AF484" i="1"/>
  <c r="AC484" i="1"/>
  <c r="Z484" i="1"/>
  <c r="W484" i="1"/>
  <c r="T484" i="1"/>
  <c r="Q484" i="1"/>
  <c r="N484" i="1"/>
  <c r="K484" i="1"/>
  <c r="H484" i="1"/>
  <c r="E484" i="1"/>
  <c r="AL482" i="1"/>
  <c r="AI482" i="1"/>
  <c r="AF482" i="1"/>
  <c r="AC482" i="1"/>
  <c r="Z482" i="1"/>
  <c r="W482" i="1"/>
  <c r="T482" i="1"/>
  <c r="Q482" i="1"/>
  <c r="N482" i="1"/>
  <c r="K482" i="1"/>
  <c r="H482" i="1"/>
  <c r="E482" i="1"/>
  <c r="AF481" i="1"/>
  <c r="Z481" i="1"/>
  <c r="W481" i="1"/>
  <c r="AL480" i="1"/>
  <c r="T480" i="1"/>
  <c r="AI479" i="1"/>
  <c r="AF479" i="1"/>
  <c r="H479" i="1"/>
  <c r="AL475" i="1"/>
  <c r="AL481" i="1" s="1"/>
  <c r="AI475" i="1"/>
  <c r="AI481" i="1" s="1"/>
  <c r="AF475" i="1"/>
  <c r="AC475" i="1"/>
  <c r="AC481" i="1" s="1"/>
  <c r="Z475" i="1"/>
  <c r="W475" i="1"/>
  <c r="T475" i="1"/>
  <c r="T481" i="1" s="1"/>
  <c r="Q475" i="1"/>
  <c r="Q481" i="1" s="1"/>
  <c r="N475" i="1"/>
  <c r="N481" i="1" s="1"/>
  <c r="K475" i="1"/>
  <c r="K481" i="1" s="1"/>
  <c r="H475" i="1"/>
  <c r="H481" i="1" s="1"/>
  <c r="E475" i="1"/>
  <c r="E481" i="1" s="1"/>
  <c r="AL474" i="1"/>
  <c r="AI474" i="1"/>
  <c r="AI480" i="1" s="1"/>
  <c r="AF474" i="1"/>
  <c r="AF480" i="1" s="1"/>
  <c r="AC474" i="1"/>
  <c r="AC480" i="1" s="1"/>
  <c r="Z474" i="1"/>
  <c r="Z480" i="1" s="1"/>
  <c r="W474" i="1"/>
  <c r="W480" i="1" s="1"/>
  <c r="T474" i="1"/>
  <c r="Q474" i="1"/>
  <c r="Q480" i="1" s="1"/>
  <c r="N474" i="1"/>
  <c r="N480" i="1" s="1"/>
  <c r="K474" i="1"/>
  <c r="K480" i="1" s="1"/>
  <c r="H474" i="1"/>
  <c r="H480" i="1" s="1"/>
  <c r="E474" i="1"/>
  <c r="E480" i="1" s="1"/>
  <c r="AL473" i="1"/>
  <c r="AL479" i="1" s="1"/>
  <c r="AI473" i="1"/>
  <c r="AF473" i="1"/>
  <c r="AC473" i="1"/>
  <c r="AC479" i="1" s="1"/>
  <c r="Z473" i="1"/>
  <c r="Z479" i="1" s="1"/>
  <c r="W473" i="1"/>
  <c r="W479" i="1" s="1"/>
  <c r="T473" i="1"/>
  <c r="T479" i="1" s="1"/>
  <c r="Q473" i="1"/>
  <c r="Q479" i="1" s="1"/>
  <c r="N473" i="1"/>
  <c r="N479" i="1" s="1"/>
  <c r="K473" i="1"/>
  <c r="K479" i="1" s="1"/>
  <c r="H473" i="1"/>
  <c r="E473" i="1"/>
  <c r="E479" i="1" s="1"/>
  <c r="AL470" i="1"/>
  <c r="AI470" i="1"/>
  <c r="AF470" i="1"/>
  <c r="AC470" i="1"/>
  <c r="Z470" i="1"/>
  <c r="W470" i="1"/>
  <c r="T470" i="1"/>
  <c r="Q470" i="1"/>
  <c r="N470" i="1"/>
  <c r="K470" i="1"/>
  <c r="H470" i="1"/>
  <c r="E470" i="1"/>
  <c r="AL469" i="1"/>
  <c r="AI469" i="1"/>
  <c r="AF469" i="1"/>
  <c r="AC469" i="1"/>
  <c r="Z469" i="1"/>
  <c r="W469" i="1"/>
  <c r="T469" i="1"/>
  <c r="Q469" i="1"/>
  <c r="N469" i="1"/>
  <c r="K469" i="1"/>
  <c r="H469" i="1"/>
  <c r="E469" i="1"/>
  <c r="AL468" i="1"/>
  <c r="AI468" i="1"/>
  <c r="AI471" i="1" s="1"/>
  <c r="AF468" i="1"/>
  <c r="AF471" i="1" s="1"/>
  <c r="AC468" i="1"/>
  <c r="AC471" i="1" s="1"/>
  <c r="Z468" i="1"/>
  <c r="W468" i="1"/>
  <c r="T468" i="1"/>
  <c r="Q468" i="1"/>
  <c r="N468" i="1"/>
  <c r="K468" i="1"/>
  <c r="K471" i="1" s="1"/>
  <c r="H468" i="1"/>
  <c r="H471" i="1" s="1"/>
  <c r="E468" i="1"/>
  <c r="AL466" i="1"/>
  <c r="AI466" i="1"/>
  <c r="AF466" i="1"/>
  <c r="AC466" i="1"/>
  <c r="Z466" i="1"/>
  <c r="W466" i="1"/>
  <c r="T466" i="1"/>
  <c r="Q466" i="1"/>
  <c r="N466" i="1"/>
  <c r="K466" i="1"/>
  <c r="H466" i="1"/>
  <c r="E466" i="1"/>
  <c r="AL465" i="1"/>
  <c r="AI465" i="1"/>
  <c r="AF465" i="1"/>
  <c r="AC465" i="1"/>
  <c r="Z465" i="1"/>
  <c r="W465" i="1"/>
  <c r="T465" i="1"/>
  <c r="Q465" i="1"/>
  <c r="N465" i="1"/>
  <c r="K465" i="1"/>
  <c r="H465" i="1"/>
  <c r="E465" i="1"/>
  <c r="AL464" i="1"/>
  <c r="AI464" i="1"/>
  <c r="AF464" i="1"/>
  <c r="AC464" i="1"/>
  <c r="Z464" i="1"/>
  <c r="W464" i="1"/>
  <c r="T464" i="1"/>
  <c r="Q464" i="1"/>
  <c r="N464" i="1"/>
  <c r="K464" i="1"/>
  <c r="H464" i="1"/>
  <c r="E464" i="1"/>
  <c r="AL463" i="1"/>
  <c r="AI463" i="1"/>
  <c r="AF463" i="1"/>
  <c r="AF467" i="1" s="1"/>
  <c r="AC463" i="1"/>
  <c r="AC467" i="1" s="1"/>
  <c r="Z463" i="1"/>
  <c r="W463" i="1"/>
  <c r="T463" i="1"/>
  <c r="Q463" i="1"/>
  <c r="N463" i="1"/>
  <c r="N467" i="1" s="1"/>
  <c r="K463" i="1"/>
  <c r="H463" i="1"/>
  <c r="H467" i="1" s="1"/>
  <c r="E463" i="1"/>
  <c r="AL462" i="1"/>
  <c r="AI462" i="1"/>
  <c r="AF462" i="1"/>
  <c r="AC462" i="1"/>
  <c r="Z462" i="1"/>
  <c r="W462" i="1"/>
  <c r="T462" i="1"/>
  <c r="Q462" i="1"/>
  <c r="N462" i="1"/>
  <c r="K462" i="1"/>
  <c r="H462" i="1"/>
  <c r="E462" i="1"/>
  <c r="AL461" i="1"/>
  <c r="AI461" i="1"/>
  <c r="AF461" i="1"/>
  <c r="AC461" i="1"/>
  <c r="Z461" i="1"/>
  <c r="W461" i="1"/>
  <c r="T461" i="1"/>
  <c r="Q461" i="1"/>
  <c r="N461" i="1"/>
  <c r="K461" i="1"/>
  <c r="H461" i="1"/>
  <c r="E461" i="1"/>
  <c r="AL460" i="1"/>
  <c r="AI460" i="1"/>
  <c r="AF460" i="1"/>
  <c r="AC460" i="1"/>
  <c r="Z460" i="1"/>
  <c r="W460" i="1"/>
  <c r="T460" i="1"/>
  <c r="Q460" i="1"/>
  <c r="N460" i="1"/>
  <c r="K460" i="1"/>
  <c r="H460" i="1"/>
  <c r="E460" i="1"/>
  <c r="AL459" i="1"/>
  <c r="AI459" i="1"/>
  <c r="AF459" i="1"/>
  <c r="AC459" i="1"/>
  <c r="Z459" i="1"/>
  <c r="W459" i="1"/>
  <c r="T459" i="1"/>
  <c r="Q459" i="1"/>
  <c r="N459" i="1"/>
  <c r="K459" i="1"/>
  <c r="H459" i="1"/>
  <c r="E459" i="1"/>
  <c r="AL458" i="1"/>
  <c r="AI458" i="1"/>
  <c r="AF458" i="1"/>
  <c r="AC458" i="1"/>
  <c r="Z458" i="1"/>
  <c r="W458" i="1"/>
  <c r="T458" i="1"/>
  <c r="Q458" i="1"/>
  <c r="N458" i="1"/>
  <c r="K458" i="1"/>
  <c r="H458" i="1"/>
  <c r="E458" i="1"/>
  <c r="AL456" i="1"/>
  <c r="AI456" i="1"/>
  <c r="AF456" i="1"/>
  <c r="AC456" i="1"/>
  <c r="Z456" i="1"/>
  <c r="W456" i="1"/>
  <c r="T456" i="1"/>
  <c r="Q456" i="1"/>
  <c r="N456" i="1"/>
  <c r="K456" i="1"/>
  <c r="H456" i="1"/>
  <c r="E456" i="1"/>
  <c r="AL453" i="1"/>
  <c r="AI453" i="1"/>
  <c r="AF453" i="1"/>
  <c r="AC453" i="1"/>
  <c r="Z453" i="1"/>
  <c r="W453" i="1"/>
  <c r="T453" i="1"/>
  <c r="Q453" i="1"/>
  <c r="N453" i="1"/>
  <c r="K453" i="1"/>
  <c r="H453" i="1"/>
  <c r="E453" i="1"/>
  <c r="AL452" i="1"/>
  <c r="AI452" i="1"/>
  <c r="AF452" i="1"/>
  <c r="AC452" i="1"/>
  <c r="Z452" i="1"/>
  <c r="W452" i="1"/>
  <c r="T452" i="1"/>
  <c r="Q452" i="1"/>
  <c r="N452" i="1"/>
  <c r="K452" i="1"/>
  <c r="H452" i="1"/>
  <c r="E452" i="1"/>
  <c r="AL450" i="1"/>
  <c r="AI450" i="1"/>
  <c r="AF450" i="1"/>
  <c r="AC450" i="1"/>
  <c r="Z450" i="1"/>
  <c r="W450" i="1"/>
  <c r="T450" i="1"/>
  <c r="Q450" i="1"/>
  <c r="N450" i="1"/>
  <c r="K450" i="1"/>
  <c r="H450" i="1"/>
  <c r="E450" i="1"/>
  <c r="AL449" i="1"/>
  <c r="AC449" i="1"/>
  <c r="T447" i="1"/>
  <c r="N447" i="1"/>
  <c r="AL443" i="1"/>
  <c r="AI443" i="1"/>
  <c r="AI449" i="1" s="1"/>
  <c r="AF443" i="1"/>
  <c r="AF449" i="1" s="1"/>
  <c r="AC443" i="1"/>
  <c r="Z443" i="1"/>
  <c r="Z449" i="1" s="1"/>
  <c r="W443" i="1"/>
  <c r="W449" i="1" s="1"/>
  <c r="T443" i="1"/>
  <c r="T449" i="1" s="1"/>
  <c r="Q443" i="1"/>
  <c r="Q449" i="1" s="1"/>
  <c r="N443" i="1"/>
  <c r="N449" i="1" s="1"/>
  <c r="K443" i="1"/>
  <c r="K449" i="1" s="1"/>
  <c r="H443" i="1"/>
  <c r="H449" i="1" s="1"/>
  <c r="E443" i="1"/>
  <c r="E449" i="1" s="1"/>
  <c r="AL442" i="1"/>
  <c r="AL448" i="1" s="1"/>
  <c r="AI442" i="1"/>
  <c r="AI448" i="1" s="1"/>
  <c r="AF442" i="1"/>
  <c r="AF448" i="1" s="1"/>
  <c r="AC442" i="1"/>
  <c r="AC448" i="1" s="1"/>
  <c r="Z442" i="1"/>
  <c r="Z448" i="1" s="1"/>
  <c r="W442" i="1"/>
  <c r="W448" i="1" s="1"/>
  <c r="T442" i="1"/>
  <c r="T448" i="1" s="1"/>
  <c r="Q442" i="1"/>
  <c r="Q448" i="1" s="1"/>
  <c r="N442" i="1"/>
  <c r="N448" i="1" s="1"/>
  <c r="K442" i="1"/>
  <c r="K448" i="1" s="1"/>
  <c r="H442" i="1"/>
  <c r="H448" i="1" s="1"/>
  <c r="E442" i="1"/>
  <c r="E448" i="1" s="1"/>
  <c r="AL441" i="1"/>
  <c r="AL447" i="1" s="1"/>
  <c r="AI441" i="1"/>
  <c r="AI447" i="1" s="1"/>
  <c r="AF441" i="1"/>
  <c r="AF447" i="1" s="1"/>
  <c r="AC441" i="1"/>
  <c r="AC447" i="1" s="1"/>
  <c r="Z441" i="1"/>
  <c r="Z447" i="1" s="1"/>
  <c r="W441" i="1"/>
  <c r="W447" i="1" s="1"/>
  <c r="T441" i="1"/>
  <c r="Q441" i="1"/>
  <c r="Q447" i="1" s="1"/>
  <c r="N441" i="1"/>
  <c r="K441" i="1"/>
  <c r="K447" i="1" s="1"/>
  <c r="H441" i="1"/>
  <c r="H447" i="1" s="1"/>
  <c r="E441" i="1"/>
  <c r="E447" i="1" s="1"/>
  <c r="AL438" i="1"/>
  <c r="AI438" i="1"/>
  <c r="AF438" i="1"/>
  <c r="AC438" i="1"/>
  <c r="Z438" i="1"/>
  <c r="W438" i="1"/>
  <c r="T438" i="1"/>
  <c r="Q438" i="1"/>
  <c r="N438" i="1"/>
  <c r="K438" i="1"/>
  <c r="H438" i="1"/>
  <c r="E438" i="1"/>
  <c r="AL437" i="1"/>
  <c r="AI437" i="1"/>
  <c r="AF437" i="1"/>
  <c r="AC437" i="1"/>
  <c r="Z437" i="1"/>
  <c r="W437" i="1"/>
  <c r="T437" i="1"/>
  <c r="Q437" i="1"/>
  <c r="N437" i="1"/>
  <c r="K437" i="1"/>
  <c r="H437" i="1"/>
  <c r="H439" i="1" s="1"/>
  <c r="E437" i="1"/>
  <c r="AL436" i="1"/>
  <c r="AL439" i="1" s="1"/>
  <c r="AI436" i="1"/>
  <c r="AF436" i="1"/>
  <c r="AF439" i="1" s="1"/>
  <c r="AC436" i="1"/>
  <c r="Z436" i="1"/>
  <c r="W436" i="1"/>
  <c r="T436" i="1"/>
  <c r="Q436" i="1"/>
  <c r="Q439" i="1" s="1"/>
  <c r="N436" i="1"/>
  <c r="N439" i="1" s="1"/>
  <c r="K436" i="1"/>
  <c r="H436" i="1"/>
  <c r="E436" i="1"/>
  <c r="E439" i="1" s="1"/>
  <c r="E440" i="1" s="1"/>
  <c r="AL434" i="1"/>
  <c r="AI434" i="1"/>
  <c r="AF434" i="1"/>
  <c r="AC434" i="1"/>
  <c r="Z434" i="1"/>
  <c r="W434" i="1"/>
  <c r="T434" i="1"/>
  <c r="Q434" i="1"/>
  <c r="N434" i="1"/>
  <c r="K434" i="1"/>
  <c r="H434" i="1"/>
  <c r="E434" i="1"/>
  <c r="AL433" i="1"/>
  <c r="AI433" i="1"/>
  <c r="AF433" i="1"/>
  <c r="AC433" i="1"/>
  <c r="Z433" i="1"/>
  <c r="W433" i="1"/>
  <c r="T433" i="1"/>
  <c r="Q433" i="1"/>
  <c r="N433" i="1"/>
  <c r="K433" i="1"/>
  <c r="H433" i="1"/>
  <c r="E433" i="1"/>
  <c r="AL432" i="1"/>
  <c r="AI432" i="1"/>
  <c r="AF432" i="1"/>
  <c r="AC432" i="1"/>
  <c r="Z432" i="1"/>
  <c r="W432" i="1"/>
  <c r="T432" i="1"/>
  <c r="Q432" i="1"/>
  <c r="N432" i="1"/>
  <c r="K432" i="1"/>
  <c r="H432" i="1"/>
  <c r="E432" i="1"/>
  <c r="AL431" i="1"/>
  <c r="AL435" i="1" s="1"/>
  <c r="AI431" i="1"/>
  <c r="AF431" i="1"/>
  <c r="AC431" i="1"/>
  <c r="AC435" i="1" s="1"/>
  <c r="Z431" i="1"/>
  <c r="W431" i="1"/>
  <c r="T431" i="1"/>
  <c r="Q431" i="1"/>
  <c r="Q435" i="1" s="1"/>
  <c r="N431" i="1"/>
  <c r="N435" i="1" s="1"/>
  <c r="K431" i="1"/>
  <c r="H431" i="1"/>
  <c r="E431" i="1"/>
  <c r="E435" i="1" s="1"/>
  <c r="AL430" i="1"/>
  <c r="AI430" i="1"/>
  <c r="AF430" i="1"/>
  <c r="AC430" i="1"/>
  <c r="Z430" i="1"/>
  <c r="W430" i="1"/>
  <c r="T430" i="1"/>
  <c r="Q430" i="1"/>
  <c r="N430" i="1"/>
  <c r="K430" i="1"/>
  <c r="H430" i="1"/>
  <c r="E430" i="1"/>
  <c r="AL429" i="1"/>
  <c r="AI429" i="1"/>
  <c r="AF429" i="1"/>
  <c r="AC429" i="1"/>
  <c r="Z429" i="1"/>
  <c r="W429" i="1"/>
  <c r="T429" i="1"/>
  <c r="Q429" i="1"/>
  <c r="N429" i="1"/>
  <c r="K429" i="1"/>
  <c r="H429" i="1"/>
  <c r="E429" i="1"/>
  <c r="AL428" i="1"/>
  <c r="AI428" i="1"/>
  <c r="AF428" i="1"/>
  <c r="AC428" i="1"/>
  <c r="Z428" i="1"/>
  <c r="W428" i="1"/>
  <c r="T428" i="1"/>
  <c r="Q428" i="1"/>
  <c r="N428" i="1"/>
  <c r="K428" i="1"/>
  <c r="H428" i="1"/>
  <c r="E428" i="1"/>
  <c r="AL427" i="1"/>
  <c r="AI427" i="1"/>
  <c r="AF427" i="1"/>
  <c r="AC427" i="1"/>
  <c r="Z427" i="1"/>
  <c r="W427" i="1"/>
  <c r="T427" i="1"/>
  <c r="Q427" i="1"/>
  <c r="N427" i="1"/>
  <c r="K427" i="1"/>
  <c r="H427" i="1"/>
  <c r="E427" i="1"/>
  <c r="AL426" i="1"/>
  <c r="AI426" i="1"/>
  <c r="AF426" i="1"/>
  <c r="AC426" i="1"/>
  <c r="Z426" i="1"/>
  <c r="W426" i="1"/>
  <c r="T426" i="1"/>
  <c r="Q426" i="1"/>
  <c r="N426" i="1"/>
  <c r="K426" i="1"/>
  <c r="H426" i="1"/>
  <c r="E426" i="1"/>
  <c r="AL424" i="1"/>
  <c r="AI424" i="1"/>
  <c r="AF424" i="1"/>
  <c r="AC424" i="1"/>
  <c r="Z424" i="1"/>
  <c r="W424" i="1"/>
  <c r="T424" i="1"/>
  <c r="Q424" i="1"/>
  <c r="N424" i="1"/>
  <c r="K424" i="1"/>
  <c r="H424" i="1"/>
  <c r="E424" i="1"/>
  <c r="AL421" i="1"/>
  <c r="AI421" i="1"/>
  <c r="AF421" i="1"/>
  <c r="AC421" i="1"/>
  <c r="Z421" i="1"/>
  <c r="W421" i="1"/>
  <c r="T421" i="1"/>
  <c r="Q421" i="1"/>
  <c r="N421" i="1"/>
  <c r="K421" i="1"/>
  <c r="H421" i="1"/>
  <c r="E421" i="1"/>
  <c r="AL420" i="1"/>
  <c r="AI420" i="1"/>
  <c r="AF420" i="1"/>
  <c r="AC420" i="1"/>
  <c r="Z420" i="1"/>
  <c r="W420" i="1"/>
  <c r="T420" i="1"/>
  <c r="Q420" i="1"/>
  <c r="N420" i="1"/>
  <c r="K420" i="1"/>
  <c r="H420" i="1"/>
  <c r="E420" i="1"/>
  <c r="AL418" i="1"/>
  <c r="AI418" i="1"/>
  <c r="AF418" i="1"/>
  <c r="AC418" i="1"/>
  <c r="Z418" i="1"/>
  <c r="W418" i="1"/>
  <c r="T418" i="1"/>
  <c r="Q418" i="1"/>
  <c r="N418" i="1"/>
  <c r="K418" i="1"/>
  <c r="H418" i="1"/>
  <c r="E418" i="1"/>
  <c r="AL416" i="1"/>
  <c r="AI416" i="1"/>
  <c r="AL411" i="1"/>
  <c r="AL417" i="1" s="1"/>
  <c r="AI411" i="1"/>
  <c r="AI417" i="1" s="1"/>
  <c r="AF411" i="1"/>
  <c r="AF417" i="1" s="1"/>
  <c r="AC411" i="1"/>
  <c r="AC417" i="1" s="1"/>
  <c r="Z411" i="1"/>
  <c r="Z417" i="1" s="1"/>
  <c r="W411" i="1"/>
  <c r="W417" i="1" s="1"/>
  <c r="T411" i="1"/>
  <c r="T417" i="1" s="1"/>
  <c r="Q411" i="1"/>
  <c r="Q417" i="1" s="1"/>
  <c r="N411" i="1"/>
  <c r="N417" i="1" s="1"/>
  <c r="K411" i="1"/>
  <c r="K417" i="1" s="1"/>
  <c r="H411" i="1"/>
  <c r="H417" i="1" s="1"/>
  <c r="E411" i="1"/>
  <c r="E417" i="1" s="1"/>
  <c r="AL410" i="1"/>
  <c r="AI410" i="1"/>
  <c r="AF410" i="1"/>
  <c r="AF416" i="1" s="1"/>
  <c r="AC410" i="1"/>
  <c r="AC416" i="1" s="1"/>
  <c r="Z410" i="1"/>
  <c r="Z416" i="1" s="1"/>
  <c r="W410" i="1"/>
  <c r="W416" i="1" s="1"/>
  <c r="T410" i="1"/>
  <c r="T416" i="1" s="1"/>
  <c r="Q410" i="1"/>
  <c r="Q416" i="1" s="1"/>
  <c r="N410" i="1"/>
  <c r="N416" i="1" s="1"/>
  <c r="K410" i="1"/>
  <c r="K416" i="1" s="1"/>
  <c r="H410" i="1"/>
  <c r="H416" i="1" s="1"/>
  <c r="E410" i="1"/>
  <c r="E416" i="1" s="1"/>
  <c r="AL409" i="1"/>
  <c r="AL415" i="1" s="1"/>
  <c r="AI409" i="1"/>
  <c r="AI415" i="1" s="1"/>
  <c r="AF409" i="1"/>
  <c r="AF415" i="1" s="1"/>
  <c r="AC409" i="1"/>
  <c r="AC415" i="1" s="1"/>
  <c r="Z409" i="1"/>
  <c r="Z415" i="1" s="1"/>
  <c r="W409" i="1"/>
  <c r="W415" i="1" s="1"/>
  <c r="T409" i="1"/>
  <c r="T415" i="1" s="1"/>
  <c r="Q409" i="1"/>
  <c r="Q415" i="1" s="1"/>
  <c r="N409" i="1"/>
  <c r="N415" i="1" s="1"/>
  <c r="K409" i="1"/>
  <c r="K415" i="1" s="1"/>
  <c r="H409" i="1"/>
  <c r="H415" i="1" s="1"/>
  <c r="E409" i="1"/>
  <c r="E415" i="1" s="1"/>
  <c r="AL406" i="1"/>
  <c r="AI406" i="1"/>
  <c r="AF406" i="1"/>
  <c r="AC406" i="1"/>
  <c r="Z406" i="1"/>
  <c r="W406" i="1"/>
  <c r="T406" i="1"/>
  <c r="Q406" i="1"/>
  <c r="N406" i="1"/>
  <c r="K406" i="1"/>
  <c r="H406" i="1"/>
  <c r="E406" i="1"/>
  <c r="AL405" i="1"/>
  <c r="AI405" i="1"/>
  <c r="AF405" i="1"/>
  <c r="AC405" i="1"/>
  <c r="Z405" i="1"/>
  <c r="W405" i="1"/>
  <c r="T405" i="1"/>
  <c r="T407" i="1" s="1"/>
  <c r="Q405" i="1"/>
  <c r="N405" i="1"/>
  <c r="N407" i="1" s="1"/>
  <c r="K405" i="1"/>
  <c r="H405" i="1"/>
  <c r="E405" i="1"/>
  <c r="AL404" i="1"/>
  <c r="AL407" i="1" s="1"/>
  <c r="AI404" i="1"/>
  <c r="AF404" i="1"/>
  <c r="AF407" i="1" s="1"/>
  <c r="AC404" i="1"/>
  <c r="Z404" i="1"/>
  <c r="Z407" i="1" s="1"/>
  <c r="W404" i="1"/>
  <c r="W407" i="1" s="1"/>
  <c r="T404" i="1"/>
  <c r="Q404" i="1"/>
  <c r="N404" i="1"/>
  <c r="K404" i="1"/>
  <c r="K407" i="1" s="1"/>
  <c r="H404" i="1"/>
  <c r="H407" i="1" s="1"/>
  <c r="E404" i="1"/>
  <c r="E407" i="1" s="1"/>
  <c r="AL402" i="1"/>
  <c r="AI402" i="1"/>
  <c r="AF402" i="1"/>
  <c r="AC402" i="1"/>
  <c r="Z402" i="1"/>
  <c r="W402" i="1"/>
  <c r="T402" i="1"/>
  <c r="Q402" i="1"/>
  <c r="N402" i="1"/>
  <c r="K402" i="1"/>
  <c r="H402" i="1"/>
  <c r="E402" i="1"/>
  <c r="AL401" i="1"/>
  <c r="AI401" i="1"/>
  <c r="AF401" i="1"/>
  <c r="AC401" i="1"/>
  <c r="Z401" i="1"/>
  <c r="W401" i="1"/>
  <c r="T401" i="1"/>
  <c r="Q401" i="1"/>
  <c r="N401" i="1"/>
  <c r="K401" i="1"/>
  <c r="H401" i="1"/>
  <c r="E401" i="1"/>
  <c r="AL400" i="1"/>
  <c r="AI400" i="1"/>
  <c r="AF400" i="1"/>
  <c r="AC400" i="1"/>
  <c r="Z400" i="1"/>
  <c r="W400" i="1"/>
  <c r="T400" i="1"/>
  <c r="Q400" i="1"/>
  <c r="N400" i="1"/>
  <c r="K400" i="1"/>
  <c r="H400" i="1"/>
  <c r="E400" i="1"/>
  <c r="AL399" i="1"/>
  <c r="AI399" i="1"/>
  <c r="AF399" i="1"/>
  <c r="AC399" i="1"/>
  <c r="Z399" i="1"/>
  <c r="Z403" i="1" s="1"/>
  <c r="W399" i="1"/>
  <c r="W403" i="1" s="1"/>
  <c r="T399" i="1"/>
  <c r="Q399" i="1"/>
  <c r="N399" i="1"/>
  <c r="K399" i="1"/>
  <c r="K403" i="1" s="1"/>
  <c r="H399" i="1"/>
  <c r="H403" i="1" s="1"/>
  <c r="E399" i="1"/>
  <c r="AL398" i="1"/>
  <c r="AI398" i="1"/>
  <c r="AF398" i="1"/>
  <c r="AC398" i="1"/>
  <c r="Z398" i="1"/>
  <c r="W398" i="1"/>
  <c r="T398" i="1"/>
  <c r="Q398" i="1"/>
  <c r="N398" i="1"/>
  <c r="K398" i="1"/>
  <c r="H398" i="1"/>
  <c r="E398" i="1"/>
  <c r="AL397" i="1"/>
  <c r="AI397" i="1"/>
  <c r="AF397" i="1"/>
  <c r="AC397" i="1"/>
  <c r="Z397" i="1"/>
  <c r="W397" i="1"/>
  <c r="T397" i="1"/>
  <c r="Q397" i="1"/>
  <c r="N397" i="1"/>
  <c r="K397" i="1"/>
  <c r="H397" i="1"/>
  <c r="E397" i="1"/>
  <c r="AL396" i="1"/>
  <c r="AI396" i="1"/>
  <c r="AF396" i="1"/>
  <c r="AC396" i="1"/>
  <c r="Z396" i="1"/>
  <c r="W396" i="1"/>
  <c r="T396" i="1"/>
  <c r="Q396" i="1"/>
  <c r="N396" i="1"/>
  <c r="K396" i="1"/>
  <c r="H396" i="1"/>
  <c r="E396" i="1"/>
  <c r="AL395" i="1"/>
  <c r="AI395" i="1"/>
  <c r="AF395" i="1"/>
  <c r="AC395" i="1"/>
  <c r="Z395" i="1"/>
  <c r="W395" i="1"/>
  <c r="T395" i="1"/>
  <c r="Q395" i="1"/>
  <c r="N395" i="1"/>
  <c r="K395" i="1"/>
  <c r="H395" i="1"/>
  <c r="E395" i="1"/>
  <c r="AL394" i="1"/>
  <c r="AI394" i="1"/>
  <c r="AF394" i="1"/>
  <c r="AC394" i="1"/>
  <c r="Z394" i="1"/>
  <c r="W394" i="1"/>
  <c r="T394" i="1"/>
  <c r="Q394" i="1"/>
  <c r="N394" i="1"/>
  <c r="K394" i="1"/>
  <c r="H394" i="1"/>
  <c r="E394" i="1"/>
  <c r="AL392" i="1"/>
  <c r="AI392" i="1"/>
  <c r="AF392" i="1"/>
  <c r="AC392" i="1"/>
  <c r="Z392" i="1"/>
  <c r="W392" i="1"/>
  <c r="T392" i="1"/>
  <c r="Q392" i="1"/>
  <c r="N392" i="1"/>
  <c r="K392" i="1"/>
  <c r="H392" i="1"/>
  <c r="E392" i="1"/>
  <c r="AL389" i="1"/>
  <c r="AI389" i="1"/>
  <c r="AF389" i="1"/>
  <c r="AC389" i="1"/>
  <c r="Z389" i="1"/>
  <c r="W389" i="1"/>
  <c r="T389" i="1"/>
  <c r="Q389" i="1"/>
  <c r="N389" i="1"/>
  <c r="K389" i="1"/>
  <c r="H389" i="1"/>
  <c r="E389" i="1"/>
  <c r="AL388" i="1"/>
  <c r="AI388" i="1"/>
  <c r="AF388" i="1"/>
  <c r="AC388" i="1"/>
  <c r="Z388" i="1"/>
  <c r="W388" i="1"/>
  <c r="T388" i="1"/>
  <c r="Q388" i="1"/>
  <c r="N388" i="1"/>
  <c r="K388" i="1"/>
  <c r="H388" i="1"/>
  <c r="E388" i="1"/>
  <c r="AL386" i="1"/>
  <c r="AI386" i="1"/>
  <c r="AF386" i="1"/>
  <c r="AC386" i="1"/>
  <c r="Z386" i="1"/>
  <c r="W386" i="1"/>
  <c r="T386" i="1"/>
  <c r="Q386" i="1"/>
  <c r="N386" i="1"/>
  <c r="K386" i="1"/>
  <c r="H386" i="1"/>
  <c r="E386" i="1"/>
  <c r="AL383" i="1"/>
  <c r="AL379" i="1"/>
  <c r="AL385" i="1" s="1"/>
  <c r="AI379" i="1"/>
  <c r="AI385" i="1" s="1"/>
  <c r="AF379" i="1"/>
  <c r="AF385" i="1" s="1"/>
  <c r="AC379" i="1"/>
  <c r="AC385" i="1" s="1"/>
  <c r="Z379" i="1"/>
  <c r="Z385" i="1" s="1"/>
  <c r="W379" i="1"/>
  <c r="W385" i="1" s="1"/>
  <c r="T379" i="1"/>
  <c r="T385" i="1" s="1"/>
  <c r="Q379" i="1"/>
  <c r="Q385" i="1" s="1"/>
  <c r="N379" i="1"/>
  <c r="N385" i="1" s="1"/>
  <c r="K379" i="1"/>
  <c r="K385" i="1" s="1"/>
  <c r="H379" i="1"/>
  <c r="H385" i="1" s="1"/>
  <c r="E379" i="1"/>
  <c r="E385" i="1" s="1"/>
  <c r="AL378" i="1"/>
  <c r="AL384" i="1" s="1"/>
  <c r="AI378" i="1"/>
  <c r="AI384" i="1" s="1"/>
  <c r="AF378" i="1"/>
  <c r="AF384" i="1" s="1"/>
  <c r="AC378" i="1"/>
  <c r="AC384" i="1" s="1"/>
  <c r="Z378" i="1"/>
  <c r="Z384" i="1" s="1"/>
  <c r="W378" i="1"/>
  <c r="W384" i="1" s="1"/>
  <c r="T378" i="1"/>
  <c r="T384" i="1" s="1"/>
  <c r="Q378" i="1"/>
  <c r="Q384" i="1" s="1"/>
  <c r="N378" i="1"/>
  <c r="N384" i="1" s="1"/>
  <c r="K378" i="1"/>
  <c r="K384" i="1" s="1"/>
  <c r="H378" i="1"/>
  <c r="H384" i="1" s="1"/>
  <c r="E378" i="1"/>
  <c r="E384" i="1" s="1"/>
  <c r="AL377" i="1"/>
  <c r="AI377" i="1"/>
  <c r="AI383" i="1" s="1"/>
  <c r="AF377" i="1"/>
  <c r="AF383" i="1" s="1"/>
  <c r="AC377" i="1"/>
  <c r="AC383" i="1" s="1"/>
  <c r="Z377" i="1"/>
  <c r="Z383" i="1" s="1"/>
  <c r="W377" i="1"/>
  <c r="W383" i="1" s="1"/>
  <c r="T377" i="1"/>
  <c r="T383" i="1" s="1"/>
  <c r="Q377" i="1"/>
  <c r="Q383" i="1" s="1"/>
  <c r="N377" i="1"/>
  <c r="N383" i="1" s="1"/>
  <c r="K377" i="1"/>
  <c r="K383" i="1" s="1"/>
  <c r="H377" i="1"/>
  <c r="H383" i="1" s="1"/>
  <c r="E377" i="1"/>
  <c r="E383" i="1" s="1"/>
  <c r="AL374" i="1"/>
  <c r="AI374" i="1"/>
  <c r="AF374" i="1"/>
  <c r="AC374" i="1"/>
  <c r="Z374" i="1"/>
  <c r="W374" i="1"/>
  <c r="T374" i="1"/>
  <c r="Q374" i="1"/>
  <c r="N374" i="1"/>
  <c r="K374" i="1"/>
  <c r="H374" i="1"/>
  <c r="E374" i="1"/>
  <c r="AL373" i="1"/>
  <c r="AI373" i="1"/>
  <c r="AF373" i="1"/>
  <c r="AC373" i="1"/>
  <c r="Z373" i="1"/>
  <c r="W373" i="1"/>
  <c r="T373" i="1"/>
  <c r="Q373" i="1"/>
  <c r="N373" i="1"/>
  <c r="K373" i="1"/>
  <c r="H373" i="1"/>
  <c r="E373" i="1"/>
  <c r="AL372" i="1"/>
  <c r="AL375" i="1" s="1"/>
  <c r="AI372" i="1"/>
  <c r="AI375" i="1" s="1"/>
  <c r="AF372" i="1"/>
  <c r="AC372" i="1"/>
  <c r="Z372" i="1"/>
  <c r="W372" i="1"/>
  <c r="W375" i="1" s="1"/>
  <c r="T372" i="1"/>
  <c r="Q372" i="1"/>
  <c r="Q375" i="1" s="1"/>
  <c r="N372" i="1"/>
  <c r="N375" i="1" s="1"/>
  <c r="K372" i="1"/>
  <c r="H372" i="1"/>
  <c r="H375" i="1" s="1"/>
  <c r="H376" i="1" s="1"/>
  <c r="E372" i="1"/>
  <c r="AL370" i="1"/>
  <c r="AI370" i="1"/>
  <c r="AF370" i="1"/>
  <c r="AC370" i="1"/>
  <c r="Z370" i="1"/>
  <c r="W370" i="1"/>
  <c r="T370" i="1"/>
  <c r="Q370" i="1"/>
  <c r="N370" i="1"/>
  <c r="K370" i="1"/>
  <c r="H370" i="1"/>
  <c r="E370" i="1"/>
  <c r="AL369" i="1"/>
  <c r="AI369" i="1"/>
  <c r="AF369" i="1"/>
  <c r="AC369" i="1"/>
  <c r="Z369" i="1"/>
  <c r="W369" i="1"/>
  <c r="T369" i="1"/>
  <c r="Q369" i="1"/>
  <c r="N369" i="1"/>
  <c r="K369" i="1"/>
  <c r="H369" i="1"/>
  <c r="E369" i="1"/>
  <c r="AL368" i="1"/>
  <c r="AI368" i="1"/>
  <c r="AF368" i="1"/>
  <c r="AC368" i="1"/>
  <c r="Z368" i="1"/>
  <c r="W368" i="1"/>
  <c r="T368" i="1"/>
  <c r="Q368" i="1"/>
  <c r="N368" i="1"/>
  <c r="K368" i="1"/>
  <c r="H368" i="1"/>
  <c r="E368" i="1"/>
  <c r="AL367" i="1"/>
  <c r="AI367" i="1"/>
  <c r="AF367" i="1"/>
  <c r="AC367" i="1"/>
  <c r="Z367" i="1"/>
  <c r="W367" i="1"/>
  <c r="W371" i="1" s="1"/>
  <c r="T367" i="1"/>
  <c r="Q367" i="1"/>
  <c r="N367" i="1"/>
  <c r="N371" i="1" s="1"/>
  <c r="K367" i="1"/>
  <c r="H367" i="1"/>
  <c r="H371" i="1" s="1"/>
  <c r="E367" i="1"/>
  <c r="AL366" i="1"/>
  <c r="AI366" i="1"/>
  <c r="AF366" i="1"/>
  <c r="AC366" i="1"/>
  <c r="Z366" i="1"/>
  <c r="W366" i="1"/>
  <c r="T366" i="1"/>
  <c r="Q366" i="1"/>
  <c r="N366" i="1"/>
  <c r="K366" i="1"/>
  <c r="H366" i="1"/>
  <c r="E366" i="1"/>
  <c r="AL365" i="1"/>
  <c r="AI365" i="1"/>
  <c r="AF365" i="1"/>
  <c r="AC365" i="1"/>
  <c r="Z365" i="1"/>
  <c r="W365" i="1"/>
  <c r="T365" i="1"/>
  <c r="Q365" i="1"/>
  <c r="N365" i="1"/>
  <c r="K365" i="1"/>
  <c r="H365" i="1"/>
  <c r="E365" i="1"/>
  <c r="AL364" i="1"/>
  <c r="AI364" i="1"/>
  <c r="AF364" i="1"/>
  <c r="AC364" i="1"/>
  <c r="Z364" i="1"/>
  <c r="W364" i="1"/>
  <c r="T364" i="1"/>
  <c r="Q364" i="1"/>
  <c r="N364" i="1"/>
  <c r="K364" i="1"/>
  <c r="H364" i="1"/>
  <c r="E364" i="1"/>
  <c r="AL363" i="1"/>
  <c r="AI363" i="1"/>
  <c r="AF363" i="1"/>
  <c r="AC363" i="1"/>
  <c r="Z363" i="1"/>
  <c r="W363" i="1"/>
  <c r="T363" i="1"/>
  <c r="Q363" i="1"/>
  <c r="N363" i="1"/>
  <c r="K363" i="1"/>
  <c r="H363" i="1"/>
  <c r="E363" i="1"/>
  <c r="AL362" i="1"/>
  <c r="AI362" i="1"/>
  <c r="AF362" i="1"/>
  <c r="AC362" i="1"/>
  <c r="Z362" i="1"/>
  <c r="W362" i="1"/>
  <c r="T362" i="1"/>
  <c r="Q362" i="1"/>
  <c r="N362" i="1"/>
  <c r="K362" i="1"/>
  <c r="H362" i="1"/>
  <c r="E362" i="1"/>
  <c r="AL360" i="1"/>
  <c r="AI360" i="1"/>
  <c r="AF360" i="1"/>
  <c r="AC360" i="1"/>
  <c r="Z360" i="1"/>
  <c r="W360" i="1"/>
  <c r="T360" i="1"/>
  <c r="Q360" i="1"/>
  <c r="N360" i="1"/>
  <c r="K360" i="1"/>
  <c r="H360" i="1"/>
  <c r="E360" i="1"/>
  <c r="AL357" i="1"/>
  <c r="AI357" i="1"/>
  <c r="AF357" i="1"/>
  <c r="AC357" i="1"/>
  <c r="Z357" i="1"/>
  <c r="W357" i="1"/>
  <c r="T357" i="1"/>
  <c r="Q357" i="1"/>
  <c r="N357" i="1"/>
  <c r="K357" i="1"/>
  <c r="H357" i="1"/>
  <c r="E357" i="1"/>
  <c r="AL356" i="1"/>
  <c r="AI356" i="1"/>
  <c r="AF356" i="1"/>
  <c r="AC356" i="1"/>
  <c r="Z356" i="1"/>
  <c r="W356" i="1"/>
  <c r="T356" i="1"/>
  <c r="Q356" i="1"/>
  <c r="N356" i="1"/>
  <c r="K356" i="1"/>
  <c r="H356" i="1"/>
  <c r="E356" i="1"/>
  <c r="AL354" i="1"/>
  <c r="AI354" i="1"/>
  <c r="AF354" i="1"/>
  <c r="AC354" i="1"/>
  <c r="Z354" i="1"/>
  <c r="W354" i="1"/>
  <c r="T354" i="1"/>
  <c r="Q354" i="1"/>
  <c r="N354" i="1"/>
  <c r="K354" i="1"/>
  <c r="H354" i="1"/>
  <c r="E354" i="1"/>
  <c r="Z353" i="1"/>
  <c r="W353" i="1"/>
  <c r="AL347" i="1"/>
  <c r="AL353" i="1" s="1"/>
  <c r="AI347" i="1"/>
  <c r="AI353" i="1" s="1"/>
  <c r="AF347" i="1"/>
  <c r="AF353" i="1" s="1"/>
  <c r="AC347" i="1"/>
  <c r="AC353" i="1" s="1"/>
  <c r="Z347" i="1"/>
  <c r="W347" i="1"/>
  <c r="T347" i="1"/>
  <c r="T353" i="1" s="1"/>
  <c r="Q347" i="1"/>
  <c r="Q353" i="1" s="1"/>
  <c r="N347" i="1"/>
  <c r="N353" i="1" s="1"/>
  <c r="K347" i="1"/>
  <c r="K353" i="1" s="1"/>
  <c r="H347" i="1"/>
  <c r="H353" i="1" s="1"/>
  <c r="E347" i="1"/>
  <c r="E353" i="1" s="1"/>
  <c r="AL346" i="1"/>
  <c r="AL352" i="1" s="1"/>
  <c r="AI346" i="1"/>
  <c r="AI352" i="1" s="1"/>
  <c r="AF346" i="1"/>
  <c r="AF352" i="1" s="1"/>
  <c r="AC346" i="1"/>
  <c r="AC352" i="1" s="1"/>
  <c r="Z346" i="1"/>
  <c r="Z352" i="1" s="1"/>
  <c r="W346" i="1"/>
  <c r="W352" i="1" s="1"/>
  <c r="T346" i="1"/>
  <c r="T352" i="1" s="1"/>
  <c r="Q346" i="1"/>
  <c r="Q352" i="1" s="1"/>
  <c r="N346" i="1"/>
  <c r="N352" i="1" s="1"/>
  <c r="K346" i="1"/>
  <c r="K352" i="1" s="1"/>
  <c r="H346" i="1"/>
  <c r="H352" i="1" s="1"/>
  <c r="E346" i="1"/>
  <c r="E352" i="1" s="1"/>
  <c r="AL345" i="1"/>
  <c r="AL351" i="1" s="1"/>
  <c r="AI345" i="1"/>
  <c r="AI351" i="1" s="1"/>
  <c r="AF345" i="1"/>
  <c r="AF351" i="1" s="1"/>
  <c r="AC345" i="1"/>
  <c r="AC351" i="1" s="1"/>
  <c r="Z345" i="1"/>
  <c r="Z351" i="1" s="1"/>
  <c r="W345" i="1"/>
  <c r="W351" i="1" s="1"/>
  <c r="T345" i="1"/>
  <c r="T351" i="1" s="1"/>
  <c r="Q345" i="1"/>
  <c r="Q351" i="1" s="1"/>
  <c r="N345" i="1"/>
  <c r="N351" i="1" s="1"/>
  <c r="K345" i="1"/>
  <c r="K351" i="1" s="1"/>
  <c r="H345" i="1"/>
  <c r="H351" i="1" s="1"/>
  <c r="E345" i="1"/>
  <c r="E351" i="1" s="1"/>
  <c r="AL342" i="1"/>
  <c r="AI342" i="1"/>
  <c r="AF342" i="1"/>
  <c r="AC342" i="1"/>
  <c r="Z342" i="1"/>
  <c r="W342" i="1"/>
  <c r="T342" i="1"/>
  <c r="Q342" i="1"/>
  <c r="N342" i="1"/>
  <c r="K342" i="1"/>
  <c r="H342" i="1"/>
  <c r="E342" i="1"/>
  <c r="AL341" i="1"/>
  <c r="AI341" i="1"/>
  <c r="AF341" i="1"/>
  <c r="AC341" i="1"/>
  <c r="Z341" i="1"/>
  <c r="W341" i="1"/>
  <c r="T341" i="1"/>
  <c r="Q341" i="1"/>
  <c r="N341" i="1"/>
  <c r="K341" i="1"/>
  <c r="H341" i="1"/>
  <c r="E341" i="1"/>
  <c r="AL340" i="1"/>
  <c r="AL343" i="1" s="1"/>
  <c r="AI340" i="1"/>
  <c r="AI343" i="1" s="1"/>
  <c r="AF340" i="1"/>
  <c r="AF343" i="1" s="1"/>
  <c r="AC340" i="1"/>
  <c r="AC343" i="1" s="1"/>
  <c r="Z340" i="1"/>
  <c r="Z343" i="1" s="1"/>
  <c r="W340" i="1"/>
  <c r="T340" i="1"/>
  <c r="T343" i="1" s="1"/>
  <c r="Q340" i="1"/>
  <c r="N340" i="1"/>
  <c r="K340" i="1"/>
  <c r="H340" i="1"/>
  <c r="E340" i="1"/>
  <c r="E343" i="1" s="1"/>
  <c r="AL338" i="1"/>
  <c r="AI338" i="1"/>
  <c r="AF338" i="1"/>
  <c r="AC338" i="1"/>
  <c r="Z338" i="1"/>
  <c r="W338" i="1"/>
  <c r="T338" i="1"/>
  <c r="Q338" i="1"/>
  <c r="N338" i="1"/>
  <c r="K338" i="1"/>
  <c r="H338" i="1"/>
  <c r="E338" i="1"/>
  <c r="AL337" i="1"/>
  <c r="AI337" i="1"/>
  <c r="AF337" i="1"/>
  <c r="AC337" i="1"/>
  <c r="Z337" i="1"/>
  <c r="W337" i="1"/>
  <c r="T337" i="1"/>
  <c r="Q337" i="1"/>
  <c r="N337" i="1"/>
  <c r="K337" i="1"/>
  <c r="H337" i="1"/>
  <c r="E337" i="1"/>
  <c r="AL336" i="1"/>
  <c r="AI336" i="1"/>
  <c r="AF336" i="1"/>
  <c r="AC336" i="1"/>
  <c r="Z336" i="1"/>
  <c r="W336" i="1"/>
  <c r="T336" i="1"/>
  <c r="Q336" i="1"/>
  <c r="N336" i="1"/>
  <c r="K336" i="1"/>
  <c r="H336" i="1"/>
  <c r="E336" i="1"/>
  <c r="AL335" i="1"/>
  <c r="AL339" i="1" s="1"/>
  <c r="AI335" i="1"/>
  <c r="AI339" i="1" s="1"/>
  <c r="AF335" i="1"/>
  <c r="AF339" i="1" s="1"/>
  <c r="AC335" i="1"/>
  <c r="Z335" i="1"/>
  <c r="W335" i="1"/>
  <c r="T335" i="1"/>
  <c r="T339" i="1" s="1"/>
  <c r="Q335" i="1"/>
  <c r="N335" i="1"/>
  <c r="K335" i="1"/>
  <c r="H335" i="1"/>
  <c r="H339" i="1" s="1"/>
  <c r="E335" i="1"/>
  <c r="E339" i="1" s="1"/>
  <c r="AL334" i="1"/>
  <c r="AI334" i="1"/>
  <c r="AF334" i="1"/>
  <c r="AC334" i="1"/>
  <c r="Z334" i="1"/>
  <c r="W334" i="1"/>
  <c r="T334" i="1"/>
  <c r="Q334" i="1"/>
  <c r="N334" i="1"/>
  <c r="K334" i="1"/>
  <c r="H334" i="1"/>
  <c r="E334" i="1"/>
  <c r="AL333" i="1"/>
  <c r="AI333" i="1"/>
  <c r="AF333" i="1"/>
  <c r="AC333" i="1"/>
  <c r="Z333" i="1"/>
  <c r="W333" i="1"/>
  <c r="T333" i="1"/>
  <c r="Q333" i="1"/>
  <c r="N333" i="1"/>
  <c r="K333" i="1"/>
  <c r="H333" i="1"/>
  <c r="E333" i="1"/>
  <c r="AL332" i="1"/>
  <c r="AI332" i="1"/>
  <c r="AF332" i="1"/>
  <c r="AC332" i="1"/>
  <c r="Z332" i="1"/>
  <c r="W332" i="1"/>
  <c r="T332" i="1"/>
  <c r="Q332" i="1"/>
  <c r="N332" i="1"/>
  <c r="K332" i="1"/>
  <c r="H332" i="1"/>
  <c r="E332" i="1"/>
  <c r="AL331" i="1"/>
  <c r="AI331" i="1"/>
  <c r="AF331" i="1"/>
  <c r="AC331" i="1"/>
  <c r="Z331" i="1"/>
  <c r="W331" i="1"/>
  <c r="T331" i="1"/>
  <c r="Q331" i="1"/>
  <c r="N331" i="1"/>
  <c r="K331" i="1"/>
  <c r="H331" i="1"/>
  <c r="E331" i="1"/>
  <c r="AL330" i="1"/>
  <c r="AI330" i="1"/>
  <c r="AF330" i="1"/>
  <c r="AC330" i="1"/>
  <c r="Z330" i="1"/>
  <c r="W330" i="1"/>
  <c r="T330" i="1"/>
  <c r="Q330" i="1"/>
  <c r="N330" i="1"/>
  <c r="K330" i="1"/>
  <c r="H330" i="1"/>
  <c r="E330" i="1"/>
  <c r="AL328" i="1"/>
  <c r="AI328" i="1"/>
  <c r="AF328" i="1"/>
  <c r="AC328" i="1"/>
  <c r="Z328" i="1"/>
  <c r="W328" i="1"/>
  <c r="T328" i="1"/>
  <c r="Q328" i="1"/>
  <c r="N328" i="1"/>
  <c r="K328" i="1"/>
  <c r="H328" i="1"/>
  <c r="E328" i="1"/>
  <c r="AL325" i="1"/>
  <c r="AI325" i="1"/>
  <c r="AF325" i="1"/>
  <c r="AC325" i="1"/>
  <c r="Z325" i="1"/>
  <c r="W325" i="1"/>
  <c r="T325" i="1"/>
  <c r="Q325" i="1"/>
  <c r="N325" i="1"/>
  <c r="K325" i="1"/>
  <c r="H325" i="1"/>
  <c r="E325" i="1"/>
  <c r="AL324" i="1"/>
  <c r="AI324" i="1"/>
  <c r="AF324" i="1"/>
  <c r="AC324" i="1"/>
  <c r="Z324" i="1"/>
  <c r="W324" i="1"/>
  <c r="T324" i="1"/>
  <c r="Q324" i="1"/>
  <c r="N324" i="1"/>
  <c r="K324" i="1"/>
  <c r="H324" i="1"/>
  <c r="E324" i="1"/>
  <c r="AL322" i="1"/>
  <c r="AI322" i="1"/>
  <c r="AF322" i="1"/>
  <c r="AC322" i="1"/>
  <c r="Z322" i="1"/>
  <c r="W322" i="1"/>
  <c r="T322" i="1"/>
  <c r="Q322" i="1"/>
  <c r="N322" i="1"/>
  <c r="K322" i="1"/>
  <c r="H322" i="1"/>
  <c r="E322" i="1"/>
  <c r="Q321" i="1"/>
  <c r="N321" i="1"/>
  <c r="Z320" i="1"/>
  <c r="W320" i="1"/>
  <c r="E320" i="1"/>
  <c r="AL319" i="1"/>
  <c r="AL315" i="1"/>
  <c r="AL321" i="1" s="1"/>
  <c r="AI315" i="1"/>
  <c r="AI321" i="1" s="1"/>
  <c r="AF315" i="1"/>
  <c r="AF321" i="1" s="1"/>
  <c r="AC315" i="1"/>
  <c r="AC321" i="1" s="1"/>
  <c r="Z315" i="1"/>
  <c r="Z321" i="1" s="1"/>
  <c r="W315" i="1"/>
  <c r="W321" i="1" s="1"/>
  <c r="T315" i="1"/>
  <c r="T321" i="1" s="1"/>
  <c r="Q315" i="1"/>
  <c r="N315" i="1"/>
  <c r="K315" i="1"/>
  <c r="K321" i="1" s="1"/>
  <c r="H315" i="1"/>
  <c r="H321" i="1" s="1"/>
  <c r="E315" i="1"/>
  <c r="E321" i="1" s="1"/>
  <c r="AL314" i="1"/>
  <c r="AL320" i="1" s="1"/>
  <c r="AI314" i="1"/>
  <c r="AI320" i="1" s="1"/>
  <c r="AF314" i="1"/>
  <c r="AF320" i="1" s="1"/>
  <c r="AC314" i="1"/>
  <c r="AC320" i="1" s="1"/>
  <c r="Z314" i="1"/>
  <c r="W314" i="1"/>
  <c r="T314" i="1"/>
  <c r="T320" i="1" s="1"/>
  <c r="Q314" i="1"/>
  <c r="Q320" i="1" s="1"/>
  <c r="N314" i="1"/>
  <c r="N320" i="1" s="1"/>
  <c r="K314" i="1"/>
  <c r="K320" i="1" s="1"/>
  <c r="H314" i="1"/>
  <c r="H320" i="1" s="1"/>
  <c r="E314" i="1"/>
  <c r="AL313" i="1"/>
  <c r="AI313" i="1"/>
  <c r="AI319" i="1" s="1"/>
  <c r="AF313" i="1"/>
  <c r="AF319" i="1" s="1"/>
  <c r="AC313" i="1"/>
  <c r="AC319" i="1" s="1"/>
  <c r="Z313" i="1"/>
  <c r="Z319" i="1" s="1"/>
  <c r="W313" i="1"/>
  <c r="W319" i="1" s="1"/>
  <c r="T313" i="1"/>
  <c r="T319" i="1" s="1"/>
  <c r="Q313" i="1"/>
  <c r="Q319" i="1" s="1"/>
  <c r="N313" i="1"/>
  <c r="N319" i="1" s="1"/>
  <c r="K313" i="1"/>
  <c r="K319" i="1" s="1"/>
  <c r="H313" i="1"/>
  <c r="H319" i="1" s="1"/>
  <c r="E313" i="1"/>
  <c r="E319" i="1" s="1"/>
  <c r="AL310" i="1"/>
  <c r="AI310" i="1"/>
  <c r="AI311" i="1" s="1"/>
  <c r="AF310" i="1"/>
  <c r="AC310" i="1"/>
  <c r="Z310" i="1"/>
  <c r="W310" i="1"/>
  <c r="T310" i="1"/>
  <c r="Q310" i="1"/>
  <c r="N310" i="1"/>
  <c r="K310" i="1"/>
  <c r="H310" i="1"/>
  <c r="E310" i="1"/>
  <c r="AL309" i="1"/>
  <c r="AI309" i="1"/>
  <c r="AF309" i="1"/>
  <c r="AC309" i="1"/>
  <c r="Z309" i="1"/>
  <c r="Z311" i="1" s="1"/>
  <c r="W309" i="1"/>
  <c r="T309" i="1"/>
  <c r="Q309" i="1"/>
  <c r="N309" i="1"/>
  <c r="K309" i="1"/>
  <c r="H309" i="1"/>
  <c r="H311" i="1" s="1"/>
  <c r="E309" i="1"/>
  <c r="AL308" i="1"/>
  <c r="AI308" i="1"/>
  <c r="AF308" i="1"/>
  <c r="AF311" i="1" s="1"/>
  <c r="AC308" i="1"/>
  <c r="Z308" i="1"/>
  <c r="W308" i="1"/>
  <c r="T308" i="1"/>
  <c r="T311" i="1" s="1"/>
  <c r="Q308" i="1"/>
  <c r="N308" i="1"/>
  <c r="N311" i="1" s="1"/>
  <c r="K308" i="1"/>
  <c r="K311" i="1" s="1"/>
  <c r="H308" i="1"/>
  <c r="E308" i="1"/>
  <c r="AL306" i="1"/>
  <c r="AI306" i="1"/>
  <c r="AF306" i="1"/>
  <c r="AC306" i="1"/>
  <c r="Z306" i="1"/>
  <c r="W306" i="1"/>
  <c r="T306" i="1"/>
  <c r="Q306" i="1"/>
  <c r="N306" i="1"/>
  <c r="K306" i="1"/>
  <c r="H306" i="1"/>
  <c r="E306" i="1"/>
  <c r="AL305" i="1"/>
  <c r="AI305" i="1"/>
  <c r="AF305" i="1"/>
  <c r="AC305" i="1"/>
  <c r="Z305" i="1"/>
  <c r="W305" i="1"/>
  <c r="T305" i="1"/>
  <c r="Q305" i="1"/>
  <c r="N305" i="1"/>
  <c r="K305" i="1"/>
  <c r="H305" i="1"/>
  <c r="E305" i="1"/>
  <c r="AL304" i="1"/>
  <c r="AI304" i="1"/>
  <c r="AF304" i="1"/>
  <c r="AC304" i="1"/>
  <c r="Z304" i="1"/>
  <c r="W304" i="1"/>
  <c r="T304" i="1"/>
  <c r="Q304" i="1"/>
  <c r="N304" i="1"/>
  <c r="K304" i="1"/>
  <c r="H304" i="1"/>
  <c r="E304" i="1"/>
  <c r="AL303" i="1"/>
  <c r="AI303" i="1"/>
  <c r="AF303" i="1"/>
  <c r="AC303" i="1"/>
  <c r="Z303" i="1"/>
  <c r="W303" i="1"/>
  <c r="T303" i="1"/>
  <c r="T307" i="1" s="1"/>
  <c r="Q303" i="1"/>
  <c r="Q307" i="1" s="1"/>
  <c r="N303" i="1"/>
  <c r="N307" i="1" s="1"/>
  <c r="K303" i="1"/>
  <c r="H303" i="1"/>
  <c r="E303" i="1"/>
  <c r="AL302" i="1"/>
  <c r="AI302" i="1"/>
  <c r="AF302" i="1"/>
  <c r="AC302" i="1"/>
  <c r="Z302" i="1"/>
  <c r="W302" i="1"/>
  <c r="T302" i="1"/>
  <c r="Q302" i="1"/>
  <c r="N302" i="1"/>
  <c r="K302" i="1"/>
  <c r="H302" i="1"/>
  <c r="E302" i="1"/>
  <c r="AL301" i="1"/>
  <c r="AI301" i="1"/>
  <c r="AF301" i="1"/>
  <c r="AC301" i="1"/>
  <c r="Z301" i="1"/>
  <c r="W301" i="1"/>
  <c r="T301" i="1"/>
  <c r="Q301" i="1"/>
  <c r="N301" i="1"/>
  <c r="K301" i="1"/>
  <c r="H301" i="1"/>
  <c r="E301" i="1"/>
  <c r="AL300" i="1"/>
  <c r="AI300" i="1"/>
  <c r="AF300" i="1"/>
  <c r="AC300" i="1"/>
  <c r="Z300" i="1"/>
  <c r="W300" i="1"/>
  <c r="T300" i="1"/>
  <c r="Q300" i="1"/>
  <c r="N300" i="1"/>
  <c r="K300" i="1"/>
  <c r="H300" i="1"/>
  <c r="E300" i="1"/>
  <c r="AL299" i="1"/>
  <c r="AI299" i="1"/>
  <c r="AF299" i="1"/>
  <c r="AC299" i="1"/>
  <c r="Z299" i="1"/>
  <c r="W299" i="1"/>
  <c r="T299" i="1"/>
  <c r="Q299" i="1"/>
  <c r="N299" i="1"/>
  <c r="K299" i="1"/>
  <c r="H299" i="1"/>
  <c r="E299" i="1"/>
  <c r="AL298" i="1"/>
  <c r="AI298" i="1"/>
  <c r="AF298" i="1"/>
  <c r="AC298" i="1"/>
  <c r="Z298" i="1"/>
  <c r="W298" i="1"/>
  <c r="T298" i="1"/>
  <c r="Q298" i="1"/>
  <c r="N298" i="1"/>
  <c r="K298" i="1"/>
  <c r="H298" i="1"/>
  <c r="E298" i="1"/>
  <c r="AL296" i="1"/>
  <c r="AI296" i="1"/>
  <c r="AF296" i="1"/>
  <c r="AC296" i="1"/>
  <c r="Z296" i="1"/>
  <c r="W296" i="1"/>
  <c r="T296" i="1"/>
  <c r="Q296" i="1"/>
  <c r="N296" i="1"/>
  <c r="K296" i="1"/>
  <c r="H296" i="1"/>
  <c r="E296" i="1"/>
  <c r="AL293" i="1"/>
  <c r="AI293" i="1"/>
  <c r="AF293" i="1"/>
  <c r="AC293" i="1"/>
  <c r="Z293" i="1"/>
  <c r="W293" i="1"/>
  <c r="T293" i="1"/>
  <c r="Q293" i="1"/>
  <c r="N293" i="1"/>
  <c r="K293" i="1"/>
  <c r="H293" i="1"/>
  <c r="E293" i="1"/>
  <c r="AL292" i="1"/>
  <c r="AI292" i="1"/>
  <c r="AF292" i="1"/>
  <c r="AC292" i="1"/>
  <c r="Z292" i="1"/>
  <c r="W292" i="1"/>
  <c r="T292" i="1"/>
  <c r="Q292" i="1"/>
  <c r="N292" i="1"/>
  <c r="K292" i="1"/>
  <c r="H292" i="1"/>
  <c r="E292" i="1"/>
  <c r="AL290" i="1"/>
  <c r="AI290" i="1"/>
  <c r="AF290" i="1"/>
  <c r="AC290" i="1"/>
  <c r="Z290" i="1"/>
  <c r="W290" i="1"/>
  <c r="T290" i="1"/>
  <c r="Q290" i="1"/>
  <c r="N290" i="1"/>
  <c r="K290" i="1"/>
  <c r="H290" i="1"/>
  <c r="E290" i="1"/>
  <c r="AI289" i="1"/>
  <c r="Q287" i="1"/>
  <c r="K287" i="1"/>
  <c r="AL283" i="1"/>
  <c r="AL289" i="1" s="1"/>
  <c r="AI283" i="1"/>
  <c r="AF283" i="1"/>
  <c r="AF289" i="1" s="1"/>
  <c r="AC283" i="1"/>
  <c r="AC289" i="1" s="1"/>
  <c r="Z283" i="1"/>
  <c r="Z289" i="1" s="1"/>
  <c r="W283" i="1"/>
  <c r="W289" i="1" s="1"/>
  <c r="T283" i="1"/>
  <c r="T289" i="1" s="1"/>
  <c r="Q283" i="1"/>
  <c r="Q289" i="1" s="1"/>
  <c r="N283" i="1"/>
  <c r="N289" i="1" s="1"/>
  <c r="K283" i="1"/>
  <c r="K289" i="1" s="1"/>
  <c r="H283" i="1"/>
  <c r="H289" i="1" s="1"/>
  <c r="E283" i="1"/>
  <c r="E289" i="1" s="1"/>
  <c r="AL282" i="1"/>
  <c r="AL288" i="1" s="1"/>
  <c r="AI282" i="1"/>
  <c r="AI288" i="1" s="1"/>
  <c r="AF282" i="1"/>
  <c r="AF288" i="1" s="1"/>
  <c r="AC282" i="1"/>
  <c r="AC288" i="1" s="1"/>
  <c r="Z282" i="1"/>
  <c r="Z288" i="1" s="1"/>
  <c r="W282" i="1"/>
  <c r="W288" i="1" s="1"/>
  <c r="T282" i="1"/>
  <c r="T288" i="1" s="1"/>
  <c r="Q282" i="1"/>
  <c r="Q288" i="1" s="1"/>
  <c r="N282" i="1"/>
  <c r="N288" i="1" s="1"/>
  <c r="K282" i="1"/>
  <c r="K288" i="1" s="1"/>
  <c r="H282" i="1"/>
  <c r="H288" i="1" s="1"/>
  <c r="E282" i="1"/>
  <c r="E288" i="1" s="1"/>
  <c r="AL281" i="1"/>
  <c r="AL287" i="1" s="1"/>
  <c r="AI281" i="1"/>
  <c r="AI287" i="1" s="1"/>
  <c r="AF281" i="1"/>
  <c r="AF287" i="1" s="1"/>
  <c r="AC281" i="1"/>
  <c r="AC287" i="1" s="1"/>
  <c r="Z281" i="1"/>
  <c r="Z287" i="1" s="1"/>
  <c r="W281" i="1"/>
  <c r="W287" i="1" s="1"/>
  <c r="T281" i="1"/>
  <c r="T287" i="1" s="1"/>
  <c r="Q281" i="1"/>
  <c r="N281" i="1"/>
  <c r="N287" i="1" s="1"/>
  <c r="K281" i="1"/>
  <c r="H281" i="1"/>
  <c r="H287" i="1" s="1"/>
  <c r="E281" i="1"/>
  <c r="E287" i="1" s="1"/>
  <c r="AL278" i="1"/>
  <c r="AI278" i="1"/>
  <c r="AF278" i="1"/>
  <c r="AC278" i="1"/>
  <c r="Z278" i="1"/>
  <c r="W278" i="1"/>
  <c r="T278" i="1"/>
  <c r="Q278" i="1"/>
  <c r="N278" i="1"/>
  <c r="K278" i="1"/>
  <c r="H278" i="1"/>
  <c r="E278" i="1"/>
  <c r="AL277" i="1"/>
  <c r="AI277" i="1"/>
  <c r="AF277" i="1"/>
  <c r="AC277" i="1"/>
  <c r="Z277" i="1"/>
  <c r="W277" i="1"/>
  <c r="T277" i="1"/>
  <c r="Q277" i="1"/>
  <c r="N277" i="1"/>
  <c r="N279" i="1" s="1"/>
  <c r="K277" i="1"/>
  <c r="H277" i="1"/>
  <c r="E277" i="1"/>
  <c r="AL276" i="1"/>
  <c r="AI276" i="1"/>
  <c r="AI279" i="1" s="1"/>
  <c r="AF276" i="1"/>
  <c r="AF279" i="1" s="1"/>
  <c r="AC276" i="1"/>
  <c r="AC279" i="1" s="1"/>
  <c r="Z276" i="1"/>
  <c r="Z279" i="1" s="1"/>
  <c r="W276" i="1"/>
  <c r="W279" i="1" s="1"/>
  <c r="T276" i="1"/>
  <c r="Q276" i="1"/>
  <c r="N276" i="1"/>
  <c r="K276" i="1"/>
  <c r="K279" i="1" s="1"/>
  <c r="H276" i="1"/>
  <c r="E276" i="1"/>
  <c r="E279" i="1" s="1"/>
  <c r="AL274" i="1"/>
  <c r="AI274" i="1"/>
  <c r="AF274" i="1"/>
  <c r="AC274" i="1"/>
  <c r="Z274" i="1"/>
  <c r="W274" i="1"/>
  <c r="T274" i="1"/>
  <c r="Q274" i="1"/>
  <c r="N274" i="1"/>
  <c r="K274" i="1"/>
  <c r="H274" i="1"/>
  <c r="E274" i="1"/>
  <c r="AL273" i="1"/>
  <c r="AI273" i="1"/>
  <c r="AF273" i="1"/>
  <c r="AC273" i="1"/>
  <c r="Z273" i="1"/>
  <c r="W273" i="1"/>
  <c r="T273" i="1"/>
  <c r="Q273" i="1"/>
  <c r="N273" i="1"/>
  <c r="K273" i="1"/>
  <c r="H273" i="1"/>
  <c r="E273" i="1"/>
  <c r="AL272" i="1"/>
  <c r="AI272" i="1"/>
  <c r="AF272" i="1"/>
  <c r="AC272" i="1"/>
  <c r="Z272" i="1"/>
  <c r="W272" i="1"/>
  <c r="T272" i="1"/>
  <c r="Q272" i="1"/>
  <c r="N272" i="1"/>
  <c r="K272" i="1"/>
  <c r="H272" i="1"/>
  <c r="E272" i="1"/>
  <c r="AL271" i="1"/>
  <c r="AI271" i="1"/>
  <c r="AF271" i="1"/>
  <c r="AC271" i="1"/>
  <c r="Z271" i="1"/>
  <c r="Z275" i="1" s="1"/>
  <c r="W271" i="1"/>
  <c r="T271" i="1"/>
  <c r="Q271" i="1"/>
  <c r="N271" i="1"/>
  <c r="K271" i="1"/>
  <c r="H271" i="1"/>
  <c r="E271" i="1"/>
  <c r="AL270" i="1"/>
  <c r="AI270" i="1"/>
  <c r="AF270" i="1"/>
  <c r="AF294" i="1" s="1"/>
  <c r="AF295" i="1" s="1"/>
  <c r="AC270" i="1"/>
  <c r="Z270" i="1"/>
  <c r="W270" i="1"/>
  <c r="T270" i="1"/>
  <c r="Q270" i="1"/>
  <c r="N270" i="1"/>
  <c r="K270" i="1"/>
  <c r="H270" i="1"/>
  <c r="E270" i="1"/>
  <c r="AL269" i="1"/>
  <c r="AI269" i="1"/>
  <c r="AF269" i="1"/>
  <c r="AC269" i="1"/>
  <c r="Z269" i="1"/>
  <c r="W269" i="1"/>
  <c r="T269" i="1"/>
  <c r="Q269" i="1"/>
  <c r="N269" i="1"/>
  <c r="K269" i="1"/>
  <c r="H269" i="1"/>
  <c r="E269" i="1"/>
  <c r="AL268" i="1"/>
  <c r="AI268" i="1"/>
  <c r="AF268" i="1"/>
  <c r="AC268" i="1"/>
  <c r="Z268" i="1"/>
  <c r="W268" i="1"/>
  <c r="T268" i="1"/>
  <c r="Q268" i="1"/>
  <c r="N268" i="1"/>
  <c r="K268" i="1"/>
  <c r="H268" i="1"/>
  <c r="E268" i="1"/>
  <c r="AL267" i="1"/>
  <c r="AI267" i="1"/>
  <c r="AF267" i="1"/>
  <c r="AC267" i="1"/>
  <c r="Z267" i="1"/>
  <c r="W267" i="1"/>
  <c r="T267" i="1"/>
  <c r="Q267" i="1"/>
  <c r="N267" i="1"/>
  <c r="K267" i="1"/>
  <c r="H267" i="1"/>
  <c r="E267" i="1"/>
  <c r="AL266" i="1"/>
  <c r="AI266" i="1"/>
  <c r="AF266" i="1"/>
  <c r="AC266" i="1"/>
  <c r="Z266" i="1"/>
  <c r="W266" i="1"/>
  <c r="T266" i="1"/>
  <c r="Q266" i="1"/>
  <c r="N266" i="1"/>
  <c r="K266" i="1"/>
  <c r="H266" i="1"/>
  <c r="E266" i="1"/>
  <c r="AL264" i="1"/>
  <c r="AI264" i="1"/>
  <c r="AF264" i="1"/>
  <c r="AC264" i="1"/>
  <c r="Z264" i="1"/>
  <c r="W264" i="1"/>
  <c r="T264" i="1"/>
  <c r="Q264" i="1"/>
  <c r="N264" i="1"/>
  <c r="K264" i="1"/>
  <c r="H264" i="1"/>
  <c r="E264" i="1"/>
  <c r="AL261" i="1"/>
  <c r="AI261" i="1"/>
  <c r="AF261" i="1"/>
  <c r="AC261" i="1"/>
  <c r="Z261" i="1"/>
  <c r="W261" i="1"/>
  <c r="T261" i="1"/>
  <c r="Q261" i="1"/>
  <c r="N261" i="1"/>
  <c r="K261" i="1"/>
  <c r="H261" i="1"/>
  <c r="E261" i="1"/>
  <c r="AL260" i="1"/>
  <c r="AI260" i="1"/>
  <c r="AF260" i="1"/>
  <c r="AC260" i="1"/>
  <c r="Z260" i="1"/>
  <c r="W260" i="1"/>
  <c r="T260" i="1"/>
  <c r="Q260" i="1"/>
  <c r="N260" i="1"/>
  <c r="K260" i="1"/>
  <c r="H260" i="1"/>
  <c r="E260" i="1"/>
  <c r="AL258" i="1"/>
  <c r="AI258" i="1"/>
  <c r="AF258" i="1"/>
  <c r="AC258" i="1"/>
  <c r="Z258" i="1"/>
  <c r="W258" i="1"/>
  <c r="T258" i="1"/>
  <c r="Q258" i="1"/>
  <c r="N258" i="1"/>
  <c r="K258" i="1"/>
  <c r="H258" i="1"/>
  <c r="E258" i="1"/>
  <c r="AI256" i="1"/>
  <c r="AF256" i="1"/>
  <c r="AL251" i="1"/>
  <c r="AL257" i="1" s="1"/>
  <c r="AI251" i="1"/>
  <c r="AI257" i="1" s="1"/>
  <c r="AF251" i="1"/>
  <c r="AF257" i="1" s="1"/>
  <c r="AC251" i="1"/>
  <c r="AC257" i="1" s="1"/>
  <c r="Z251" i="1"/>
  <c r="Z257" i="1" s="1"/>
  <c r="W251" i="1"/>
  <c r="W257" i="1" s="1"/>
  <c r="T251" i="1"/>
  <c r="T257" i="1" s="1"/>
  <c r="Q251" i="1"/>
  <c r="Q257" i="1" s="1"/>
  <c r="N251" i="1"/>
  <c r="N257" i="1" s="1"/>
  <c r="K251" i="1"/>
  <c r="K257" i="1" s="1"/>
  <c r="H251" i="1"/>
  <c r="H257" i="1" s="1"/>
  <c r="E251" i="1"/>
  <c r="E257" i="1" s="1"/>
  <c r="AL250" i="1"/>
  <c r="AL256" i="1" s="1"/>
  <c r="AI250" i="1"/>
  <c r="AF250" i="1"/>
  <c r="AC250" i="1"/>
  <c r="AC256" i="1" s="1"/>
  <c r="Z250" i="1"/>
  <c r="Z256" i="1" s="1"/>
  <c r="W250" i="1"/>
  <c r="W256" i="1" s="1"/>
  <c r="T250" i="1"/>
  <c r="T256" i="1" s="1"/>
  <c r="Q250" i="1"/>
  <c r="Q256" i="1" s="1"/>
  <c r="N250" i="1"/>
  <c r="N256" i="1" s="1"/>
  <c r="K250" i="1"/>
  <c r="K256" i="1" s="1"/>
  <c r="H250" i="1"/>
  <c r="H256" i="1" s="1"/>
  <c r="E250" i="1"/>
  <c r="E256" i="1" s="1"/>
  <c r="AL249" i="1"/>
  <c r="AL255" i="1" s="1"/>
  <c r="AI249" i="1"/>
  <c r="AI255" i="1" s="1"/>
  <c r="AF249" i="1"/>
  <c r="AF255" i="1" s="1"/>
  <c r="AC249" i="1"/>
  <c r="AC255" i="1" s="1"/>
  <c r="Z249" i="1"/>
  <c r="Z255" i="1" s="1"/>
  <c r="W249" i="1"/>
  <c r="W255" i="1" s="1"/>
  <c r="T249" i="1"/>
  <c r="T255" i="1" s="1"/>
  <c r="Q249" i="1"/>
  <c r="Q255" i="1" s="1"/>
  <c r="N249" i="1"/>
  <c r="N255" i="1" s="1"/>
  <c r="K249" i="1"/>
  <c r="K255" i="1" s="1"/>
  <c r="H249" i="1"/>
  <c r="H255" i="1" s="1"/>
  <c r="E249" i="1"/>
  <c r="E255" i="1" s="1"/>
  <c r="Q247" i="1"/>
  <c r="AL246" i="1"/>
  <c r="AI246" i="1"/>
  <c r="AF246" i="1"/>
  <c r="AC246" i="1"/>
  <c r="Z246" i="1"/>
  <c r="W246" i="1"/>
  <c r="T246" i="1"/>
  <c r="Q246" i="1"/>
  <c r="N246" i="1"/>
  <c r="K246" i="1"/>
  <c r="H246" i="1"/>
  <c r="E246" i="1"/>
  <c r="AL245" i="1"/>
  <c r="AI245" i="1"/>
  <c r="AF245" i="1"/>
  <c r="AF247" i="1" s="1"/>
  <c r="AC245" i="1"/>
  <c r="Z245" i="1"/>
  <c r="W245" i="1"/>
  <c r="T245" i="1"/>
  <c r="Q245" i="1"/>
  <c r="N245" i="1"/>
  <c r="K245" i="1"/>
  <c r="H245" i="1"/>
  <c r="E245" i="1"/>
  <c r="AL244" i="1"/>
  <c r="AI244" i="1"/>
  <c r="AF244" i="1"/>
  <c r="AC244" i="1"/>
  <c r="AC247" i="1" s="1"/>
  <c r="Z244" i="1"/>
  <c r="W244" i="1"/>
  <c r="W247" i="1" s="1"/>
  <c r="T244" i="1"/>
  <c r="T247" i="1" s="1"/>
  <c r="Q244" i="1"/>
  <c r="N244" i="1"/>
  <c r="N247" i="1" s="1"/>
  <c r="K244" i="1"/>
  <c r="H244" i="1"/>
  <c r="H247" i="1" s="1"/>
  <c r="E244" i="1"/>
  <c r="AL242" i="1"/>
  <c r="AI242" i="1"/>
  <c r="AF242" i="1"/>
  <c r="AC242" i="1"/>
  <c r="Z242" i="1"/>
  <c r="W242" i="1"/>
  <c r="T242" i="1"/>
  <c r="Q242" i="1"/>
  <c r="N242" i="1"/>
  <c r="K242" i="1"/>
  <c r="H242" i="1"/>
  <c r="E242" i="1"/>
  <c r="AL241" i="1"/>
  <c r="AI241" i="1"/>
  <c r="AF241" i="1"/>
  <c r="AC241" i="1"/>
  <c r="Z241" i="1"/>
  <c r="W241" i="1"/>
  <c r="T241" i="1"/>
  <c r="Q241" i="1"/>
  <c r="N241" i="1"/>
  <c r="K241" i="1"/>
  <c r="H241" i="1"/>
  <c r="E241" i="1"/>
  <c r="AL240" i="1"/>
  <c r="AI240" i="1"/>
  <c r="AF240" i="1"/>
  <c r="AC240" i="1"/>
  <c r="Z240" i="1"/>
  <c r="W240" i="1"/>
  <c r="T240" i="1"/>
  <c r="Q240" i="1"/>
  <c r="N240" i="1"/>
  <c r="K240" i="1"/>
  <c r="H240" i="1"/>
  <c r="E240" i="1"/>
  <c r="AL239" i="1"/>
  <c r="AI239" i="1"/>
  <c r="AI243" i="1" s="1"/>
  <c r="AF239" i="1"/>
  <c r="AF243" i="1" s="1"/>
  <c r="AC239" i="1"/>
  <c r="Z239" i="1"/>
  <c r="Z243" i="1" s="1"/>
  <c r="W239" i="1"/>
  <c r="W243" i="1" s="1"/>
  <c r="T239" i="1"/>
  <c r="T243" i="1" s="1"/>
  <c r="Q239" i="1"/>
  <c r="Q243" i="1" s="1"/>
  <c r="N239" i="1"/>
  <c r="K239" i="1"/>
  <c r="K243" i="1" s="1"/>
  <c r="H239" i="1"/>
  <c r="H243" i="1" s="1"/>
  <c r="E239" i="1"/>
  <c r="AL238" i="1"/>
  <c r="AI238" i="1"/>
  <c r="AF238" i="1"/>
  <c r="AC238" i="1"/>
  <c r="Z238" i="1"/>
  <c r="W238" i="1"/>
  <c r="T238" i="1"/>
  <c r="Q238" i="1"/>
  <c r="N238" i="1"/>
  <c r="K238" i="1"/>
  <c r="H238" i="1"/>
  <c r="E238" i="1"/>
  <c r="AL237" i="1"/>
  <c r="AI237" i="1"/>
  <c r="AF237" i="1"/>
  <c r="AC237" i="1"/>
  <c r="AC262" i="1" s="1"/>
  <c r="AC263" i="1" s="1"/>
  <c r="Z237" i="1"/>
  <c r="W237" i="1"/>
  <c r="T237" i="1"/>
  <c r="Q237" i="1"/>
  <c r="N237" i="1"/>
  <c r="K237" i="1"/>
  <c r="H237" i="1"/>
  <c r="E237" i="1"/>
  <c r="AL236" i="1"/>
  <c r="AI236" i="1"/>
  <c r="AF236" i="1"/>
  <c r="AC236" i="1"/>
  <c r="Z236" i="1"/>
  <c r="W236" i="1"/>
  <c r="T236" i="1"/>
  <c r="Q236" i="1"/>
  <c r="N236" i="1"/>
  <c r="K236" i="1"/>
  <c r="H236" i="1"/>
  <c r="E236" i="1"/>
  <c r="AL235" i="1"/>
  <c r="AI235" i="1"/>
  <c r="AF235" i="1"/>
  <c r="AC235" i="1"/>
  <c r="Z235" i="1"/>
  <c r="W235" i="1"/>
  <c r="T235" i="1"/>
  <c r="Q235" i="1"/>
  <c r="N235" i="1"/>
  <c r="K235" i="1"/>
  <c r="H235" i="1"/>
  <c r="E235" i="1"/>
  <c r="AL234" i="1"/>
  <c r="AI234" i="1"/>
  <c r="AF234" i="1"/>
  <c r="AC234" i="1"/>
  <c r="Z234" i="1"/>
  <c r="W234" i="1"/>
  <c r="T234" i="1"/>
  <c r="Q234" i="1"/>
  <c r="N234" i="1"/>
  <c r="K234" i="1"/>
  <c r="H234" i="1"/>
  <c r="E234" i="1"/>
  <c r="AL232" i="1"/>
  <c r="AI232" i="1"/>
  <c r="AF232" i="1"/>
  <c r="AC232" i="1"/>
  <c r="Z232" i="1"/>
  <c r="W232" i="1"/>
  <c r="T232" i="1"/>
  <c r="Q232" i="1"/>
  <c r="N232" i="1"/>
  <c r="K232" i="1"/>
  <c r="H232" i="1"/>
  <c r="E232" i="1"/>
  <c r="AL229" i="1"/>
  <c r="AI229" i="1"/>
  <c r="AF229" i="1"/>
  <c r="AC229" i="1"/>
  <c r="Z229" i="1"/>
  <c r="W229" i="1"/>
  <c r="T229" i="1"/>
  <c r="Q229" i="1"/>
  <c r="N229" i="1"/>
  <c r="K229" i="1"/>
  <c r="H229" i="1"/>
  <c r="E229" i="1"/>
  <c r="AL228" i="1"/>
  <c r="AI228" i="1"/>
  <c r="AF228" i="1"/>
  <c r="AC228" i="1"/>
  <c r="Z228" i="1"/>
  <c r="W228" i="1"/>
  <c r="T228" i="1"/>
  <c r="Q228" i="1"/>
  <c r="N228" i="1"/>
  <c r="K228" i="1"/>
  <c r="H228" i="1"/>
  <c r="E228" i="1"/>
  <c r="AL226" i="1"/>
  <c r="AI226" i="1"/>
  <c r="AF226" i="1"/>
  <c r="AC226" i="1"/>
  <c r="Z226" i="1"/>
  <c r="W226" i="1"/>
  <c r="T226" i="1"/>
  <c r="Q226" i="1"/>
  <c r="N226" i="1"/>
  <c r="K226" i="1"/>
  <c r="H226" i="1"/>
  <c r="E226" i="1"/>
  <c r="Z225" i="1"/>
  <c r="Q225" i="1"/>
  <c r="AL224" i="1"/>
  <c r="E224" i="1"/>
  <c r="AI223" i="1"/>
  <c r="AL219" i="1"/>
  <c r="AL225" i="1" s="1"/>
  <c r="AI219" i="1"/>
  <c r="AI225" i="1" s="1"/>
  <c r="AF219" i="1"/>
  <c r="AF225" i="1" s="1"/>
  <c r="AC219" i="1"/>
  <c r="AC225" i="1" s="1"/>
  <c r="Z219" i="1"/>
  <c r="W219" i="1"/>
  <c r="W225" i="1" s="1"/>
  <c r="T219" i="1"/>
  <c r="T225" i="1" s="1"/>
  <c r="Q219" i="1"/>
  <c r="N219" i="1"/>
  <c r="N225" i="1" s="1"/>
  <c r="K219" i="1"/>
  <c r="K225" i="1" s="1"/>
  <c r="H219" i="1"/>
  <c r="H225" i="1" s="1"/>
  <c r="E219" i="1"/>
  <c r="E225" i="1" s="1"/>
  <c r="AL218" i="1"/>
  <c r="AI218" i="1"/>
  <c r="AI224" i="1" s="1"/>
  <c r="AF218" i="1"/>
  <c r="AF224" i="1" s="1"/>
  <c r="AC218" i="1"/>
  <c r="AC224" i="1" s="1"/>
  <c r="Z218" i="1"/>
  <c r="Z224" i="1" s="1"/>
  <c r="W218" i="1"/>
  <c r="W224" i="1" s="1"/>
  <c r="T218" i="1"/>
  <c r="T224" i="1" s="1"/>
  <c r="Q218" i="1"/>
  <c r="Q224" i="1" s="1"/>
  <c r="N218" i="1"/>
  <c r="N224" i="1" s="1"/>
  <c r="K218" i="1"/>
  <c r="K224" i="1" s="1"/>
  <c r="H218" i="1"/>
  <c r="H224" i="1" s="1"/>
  <c r="E218" i="1"/>
  <c r="AL217" i="1"/>
  <c r="AL223" i="1" s="1"/>
  <c r="AI217" i="1"/>
  <c r="AF217" i="1"/>
  <c r="AF223" i="1" s="1"/>
  <c r="AC217" i="1"/>
  <c r="AC223" i="1" s="1"/>
  <c r="Z217" i="1"/>
  <c r="Z223" i="1" s="1"/>
  <c r="W217" i="1"/>
  <c r="W223" i="1" s="1"/>
  <c r="T217" i="1"/>
  <c r="T223" i="1" s="1"/>
  <c r="Q217" i="1"/>
  <c r="Q223" i="1" s="1"/>
  <c r="N217" i="1"/>
  <c r="N223" i="1" s="1"/>
  <c r="K217" i="1"/>
  <c r="K223" i="1" s="1"/>
  <c r="H217" i="1"/>
  <c r="H223" i="1" s="1"/>
  <c r="E217" i="1"/>
  <c r="E223" i="1" s="1"/>
  <c r="AL214" i="1"/>
  <c r="AI214" i="1"/>
  <c r="AF214" i="1"/>
  <c r="AC214" i="1"/>
  <c r="Z214" i="1"/>
  <c r="W214" i="1"/>
  <c r="T214" i="1"/>
  <c r="Q214" i="1"/>
  <c r="N214" i="1"/>
  <c r="K214" i="1"/>
  <c r="H214" i="1"/>
  <c r="E214" i="1"/>
  <c r="AL213" i="1"/>
  <c r="AI213" i="1"/>
  <c r="AF213" i="1"/>
  <c r="AC213" i="1"/>
  <c r="Z213" i="1"/>
  <c r="W213" i="1"/>
  <c r="T213" i="1"/>
  <c r="Q213" i="1"/>
  <c r="N213" i="1"/>
  <c r="N215" i="1" s="1"/>
  <c r="K213" i="1"/>
  <c r="H213" i="1"/>
  <c r="E213" i="1"/>
  <c r="AL212" i="1"/>
  <c r="AI212" i="1"/>
  <c r="AI215" i="1" s="1"/>
  <c r="AF212" i="1"/>
  <c r="AF215" i="1" s="1"/>
  <c r="AC212" i="1"/>
  <c r="AC215" i="1" s="1"/>
  <c r="Z212" i="1"/>
  <c r="W212" i="1"/>
  <c r="T212" i="1"/>
  <c r="T215" i="1" s="1"/>
  <c r="Q212" i="1"/>
  <c r="N212" i="1"/>
  <c r="K212" i="1"/>
  <c r="H212" i="1"/>
  <c r="H215" i="1" s="1"/>
  <c r="E212" i="1"/>
  <c r="AL210" i="1"/>
  <c r="AI210" i="1"/>
  <c r="AF210" i="1"/>
  <c r="AC210" i="1"/>
  <c r="Z210" i="1"/>
  <c r="W210" i="1"/>
  <c r="T210" i="1"/>
  <c r="Q210" i="1"/>
  <c r="N210" i="1"/>
  <c r="K210" i="1"/>
  <c r="H210" i="1"/>
  <c r="E210" i="1"/>
  <c r="AL209" i="1"/>
  <c r="AI209" i="1"/>
  <c r="AF209" i="1"/>
  <c r="AC209" i="1"/>
  <c r="Z209" i="1"/>
  <c r="W209" i="1"/>
  <c r="T209" i="1"/>
  <c r="Q209" i="1"/>
  <c r="N209" i="1"/>
  <c r="K209" i="1"/>
  <c r="H209" i="1"/>
  <c r="E209" i="1"/>
  <c r="AL208" i="1"/>
  <c r="AI208" i="1"/>
  <c r="AF208" i="1"/>
  <c r="AC208" i="1"/>
  <c r="Z208" i="1"/>
  <c r="W208" i="1"/>
  <c r="T208" i="1"/>
  <c r="Q208" i="1"/>
  <c r="N208" i="1"/>
  <c r="K208" i="1"/>
  <c r="H208" i="1"/>
  <c r="E208" i="1"/>
  <c r="AL207" i="1"/>
  <c r="AI207" i="1"/>
  <c r="AI211" i="1" s="1"/>
  <c r="AF207" i="1"/>
  <c r="AF211" i="1" s="1"/>
  <c r="AC207" i="1"/>
  <c r="Z207" i="1"/>
  <c r="W207" i="1"/>
  <c r="T207" i="1"/>
  <c r="Q207" i="1"/>
  <c r="N207" i="1"/>
  <c r="K207" i="1"/>
  <c r="K211" i="1" s="1"/>
  <c r="H207" i="1"/>
  <c r="H211" i="1" s="1"/>
  <c r="E207" i="1"/>
  <c r="AL206" i="1"/>
  <c r="AI206" i="1"/>
  <c r="AF206" i="1"/>
  <c r="AC206" i="1"/>
  <c r="Z206" i="1"/>
  <c r="W206" i="1"/>
  <c r="T206" i="1"/>
  <c r="Q206" i="1"/>
  <c r="N206" i="1"/>
  <c r="K206" i="1"/>
  <c r="H206" i="1"/>
  <c r="E206" i="1"/>
  <c r="AL205" i="1"/>
  <c r="AI205" i="1"/>
  <c r="AF205" i="1"/>
  <c r="AC205" i="1"/>
  <c r="Z205" i="1"/>
  <c r="W205" i="1"/>
  <c r="T205" i="1"/>
  <c r="Q205" i="1"/>
  <c r="N205" i="1"/>
  <c r="K205" i="1"/>
  <c r="H205" i="1"/>
  <c r="E205" i="1"/>
  <c r="AL204" i="1"/>
  <c r="AI204" i="1"/>
  <c r="AF204" i="1"/>
  <c r="AC204" i="1"/>
  <c r="Z204" i="1"/>
  <c r="W204" i="1"/>
  <c r="T204" i="1"/>
  <c r="Q204" i="1"/>
  <c r="N204" i="1"/>
  <c r="K204" i="1"/>
  <c r="H204" i="1"/>
  <c r="E204" i="1"/>
  <c r="AL203" i="1"/>
  <c r="AI203" i="1"/>
  <c r="AF203" i="1"/>
  <c r="AC203" i="1"/>
  <c r="Z203" i="1"/>
  <c r="W203" i="1"/>
  <c r="T203" i="1"/>
  <c r="Q203" i="1"/>
  <c r="N203" i="1"/>
  <c r="K203" i="1"/>
  <c r="H203" i="1"/>
  <c r="E203" i="1"/>
  <c r="AL202" i="1"/>
  <c r="AI202" i="1"/>
  <c r="AF202" i="1"/>
  <c r="AC202" i="1"/>
  <c r="Z202" i="1"/>
  <c r="W202" i="1"/>
  <c r="T202" i="1"/>
  <c r="Q202" i="1"/>
  <c r="N202" i="1"/>
  <c r="K202" i="1"/>
  <c r="H202" i="1"/>
  <c r="E202" i="1"/>
  <c r="AL200" i="1"/>
  <c r="AI200" i="1"/>
  <c r="AF200" i="1"/>
  <c r="AC200" i="1"/>
  <c r="Z200" i="1"/>
  <c r="W200" i="1"/>
  <c r="T200" i="1"/>
  <c r="Q200" i="1"/>
  <c r="N200" i="1"/>
  <c r="K200" i="1"/>
  <c r="H200" i="1"/>
  <c r="E200" i="1"/>
  <c r="AL197" i="1"/>
  <c r="AI197" i="1"/>
  <c r="AF197" i="1"/>
  <c r="AC197" i="1"/>
  <c r="Z197" i="1"/>
  <c r="W197" i="1"/>
  <c r="T197" i="1"/>
  <c r="Q197" i="1"/>
  <c r="N197" i="1"/>
  <c r="K197" i="1"/>
  <c r="H197" i="1"/>
  <c r="E197" i="1"/>
  <c r="AL196" i="1"/>
  <c r="AI196" i="1"/>
  <c r="AF196" i="1"/>
  <c r="AC196" i="1"/>
  <c r="Z196" i="1"/>
  <c r="W196" i="1"/>
  <c r="T196" i="1"/>
  <c r="Q196" i="1"/>
  <c r="N196" i="1"/>
  <c r="K196" i="1"/>
  <c r="H196" i="1"/>
  <c r="E196" i="1"/>
  <c r="AL194" i="1"/>
  <c r="AI194" i="1"/>
  <c r="AF194" i="1"/>
  <c r="AC194" i="1"/>
  <c r="Z194" i="1"/>
  <c r="W194" i="1"/>
  <c r="T194" i="1"/>
  <c r="Q194" i="1"/>
  <c r="N194" i="1"/>
  <c r="K194" i="1"/>
  <c r="H194" i="1"/>
  <c r="E194" i="1"/>
  <c r="AC193" i="1"/>
  <c r="W193" i="1"/>
  <c r="T193" i="1"/>
  <c r="AL187" i="1"/>
  <c r="AL193" i="1" s="1"/>
  <c r="AI187" i="1"/>
  <c r="AI193" i="1" s="1"/>
  <c r="AF187" i="1"/>
  <c r="AF193" i="1" s="1"/>
  <c r="AC187" i="1"/>
  <c r="Z187" i="1"/>
  <c r="Z193" i="1" s="1"/>
  <c r="W187" i="1"/>
  <c r="T187" i="1"/>
  <c r="Q187" i="1"/>
  <c r="Q193" i="1" s="1"/>
  <c r="N187" i="1"/>
  <c r="N193" i="1" s="1"/>
  <c r="K187" i="1"/>
  <c r="K193" i="1" s="1"/>
  <c r="H187" i="1"/>
  <c r="H193" i="1" s="1"/>
  <c r="E187" i="1"/>
  <c r="E193" i="1" s="1"/>
  <c r="AL186" i="1"/>
  <c r="AL192" i="1" s="1"/>
  <c r="AI186" i="1"/>
  <c r="AI192" i="1" s="1"/>
  <c r="AF186" i="1"/>
  <c r="AF192" i="1" s="1"/>
  <c r="AC186" i="1"/>
  <c r="AC192" i="1" s="1"/>
  <c r="Z186" i="1"/>
  <c r="Z192" i="1" s="1"/>
  <c r="W186" i="1"/>
  <c r="W192" i="1" s="1"/>
  <c r="T186" i="1"/>
  <c r="T192" i="1" s="1"/>
  <c r="Q186" i="1"/>
  <c r="Q192" i="1" s="1"/>
  <c r="N186" i="1"/>
  <c r="N192" i="1" s="1"/>
  <c r="K186" i="1"/>
  <c r="K192" i="1" s="1"/>
  <c r="H186" i="1"/>
  <c r="H192" i="1" s="1"/>
  <c r="E186" i="1"/>
  <c r="E192" i="1" s="1"/>
  <c r="AL185" i="1"/>
  <c r="AL191" i="1" s="1"/>
  <c r="AI185" i="1"/>
  <c r="AI191" i="1" s="1"/>
  <c r="AF185" i="1"/>
  <c r="AF191" i="1" s="1"/>
  <c r="AC185" i="1"/>
  <c r="AC191" i="1" s="1"/>
  <c r="Z185" i="1"/>
  <c r="Z191" i="1" s="1"/>
  <c r="W185" i="1"/>
  <c r="W191" i="1" s="1"/>
  <c r="T185" i="1"/>
  <c r="T191" i="1" s="1"/>
  <c r="Q185" i="1"/>
  <c r="Q191" i="1" s="1"/>
  <c r="N185" i="1"/>
  <c r="N191" i="1" s="1"/>
  <c r="K185" i="1"/>
  <c r="K191" i="1" s="1"/>
  <c r="H185" i="1"/>
  <c r="H191" i="1" s="1"/>
  <c r="E185" i="1"/>
  <c r="E191" i="1" s="1"/>
  <c r="AL182" i="1"/>
  <c r="AI182" i="1"/>
  <c r="AF182" i="1"/>
  <c r="AC182" i="1"/>
  <c r="Z182" i="1"/>
  <c r="W182" i="1"/>
  <c r="T182" i="1"/>
  <c r="Q182" i="1"/>
  <c r="N182" i="1"/>
  <c r="K182" i="1"/>
  <c r="H182" i="1"/>
  <c r="E182" i="1"/>
  <c r="AL181" i="1"/>
  <c r="AI181" i="1"/>
  <c r="AF181" i="1"/>
  <c r="AC181" i="1"/>
  <c r="Z181" i="1"/>
  <c r="W181" i="1"/>
  <c r="T181" i="1"/>
  <c r="Q181" i="1"/>
  <c r="N181" i="1"/>
  <c r="K181" i="1"/>
  <c r="H181" i="1"/>
  <c r="E181" i="1"/>
  <c r="AL180" i="1"/>
  <c r="AI180" i="1"/>
  <c r="AF180" i="1"/>
  <c r="AF183" i="1" s="1"/>
  <c r="AC180" i="1"/>
  <c r="Z180" i="1"/>
  <c r="W180" i="1"/>
  <c r="W183" i="1" s="1"/>
  <c r="T180" i="1"/>
  <c r="T183" i="1" s="1"/>
  <c r="Q180" i="1"/>
  <c r="Q183" i="1" s="1"/>
  <c r="N180" i="1"/>
  <c r="N183" i="1" s="1"/>
  <c r="K180" i="1"/>
  <c r="K183" i="1" s="1"/>
  <c r="H180" i="1"/>
  <c r="E180" i="1"/>
  <c r="AL178" i="1"/>
  <c r="AI178" i="1"/>
  <c r="AF178" i="1"/>
  <c r="AC178" i="1"/>
  <c r="Z178" i="1"/>
  <c r="W178" i="1"/>
  <c r="T178" i="1"/>
  <c r="Q178" i="1"/>
  <c r="N178" i="1"/>
  <c r="K178" i="1"/>
  <c r="H178" i="1"/>
  <c r="E178" i="1"/>
  <c r="AL177" i="1"/>
  <c r="AI177" i="1"/>
  <c r="AF177" i="1"/>
  <c r="AC177" i="1"/>
  <c r="Z177" i="1"/>
  <c r="W177" i="1"/>
  <c r="T177" i="1"/>
  <c r="Q177" i="1"/>
  <c r="N177" i="1"/>
  <c r="K177" i="1"/>
  <c r="H177" i="1"/>
  <c r="E177" i="1"/>
  <c r="AL176" i="1"/>
  <c r="AI176" i="1"/>
  <c r="AF176" i="1"/>
  <c r="AC176" i="1"/>
  <c r="Z176" i="1"/>
  <c r="W176" i="1"/>
  <c r="T176" i="1"/>
  <c r="Q176" i="1"/>
  <c r="N176" i="1"/>
  <c r="K176" i="1"/>
  <c r="H176" i="1"/>
  <c r="E176" i="1"/>
  <c r="AL175" i="1"/>
  <c r="AI175" i="1"/>
  <c r="AI179" i="1" s="1"/>
  <c r="AF175" i="1"/>
  <c r="AF179" i="1" s="1"/>
  <c r="AC175" i="1"/>
  <c r="Z175" i="1"/>
  <c r="Z179" i="1" s="1"/>
  <c r="W175" i="1"/>
  <c r="W179" i="1" s="1"/>
  <c r="T175" i="1"/>
  <c r="T179" i="1" s="1"/>
  <c r="Q175" i="1"/>
  <c r="N175" i="1"/>
  <c r="K175" i="1"/>
  <c r="H175" i="1"/>
  <c r="H179" i="1" s="1"/>
  <c r="E175" i="1"/>
  <c r="AL174" i="1"/>
  <c r="AI174" i="1"/>
  <c r="AF174" i="1"/>
  <c r="AC174" i="1"/>
  <c r="Z174" i="1"/>
  <c r="W174" i="1"/>
  <c r="T174" i="1"/>
  <c r="T198" i="1" s="1"/>
  <c r="T199" i="1" s="1"/>
  <c r="Q174" i="1"/>
  <c r="N174" i="1"/>
  <c r="K174" i="1"/>
  <c r="H174" i="1"/>
  <c r="E174" i="1"/>
  <c r="AL173" i="1"/>
  <c r="AI173" i="1"/>
  <c r="AF173" i="1"/>
  <c r="AC173" i="1"/>
  <c r="Z173" i="1"/>
  <c r="W173" i="1"/>
  <c r="T173" i="1"/>
  <c r="Q173" i="1"/>
  <c r="N173" i="1"/>
  <c r="K173" i="1"/>
  <c r="H173" i="1"/>
  <c r="E173" i="1"/>
  <c r="AL172" i="1"/>
  <c r="AI172" i="1"/>
  <c r="AF172" i="1"/>
  <c r="AC172" i="1"/>
  <c r="Z172" i="1"/>
  <c r="W172" i="1"/>
  <c r="T172" i="1"/>
  <c r="Q172" i="1"/>
  <c r="N172" i="1"/>
  <c r="K172" i="1"/>
  <c r="H172" i="1"/>
  <c r="E172" i="1"/>
  <c r="AL171" i="1"/>
  <c r="AI171" i="1"/>
  <c r="AF171" i="1"/>
  <c r="AC171" i="1"/>
  <c r="Z171" i="1"/>
  <c r="W171" i="1"/>
  <c r="T171" i="1"/>
  <c r="Q171" i="1"/>
  <c r="N171" i="1"/>
  <c r="K171" i="1"/>
  <c r="H171" i="1"/>
  <c r="E171" i="1"/>
  <c r="AL170" i="1"/>
  <c r="AI170" i="1"/>
  <c r="AF170" i="1"/>
  <c r="AC170" i="1"/>
  <c r="Z170" i="1"/>
  <c r="W170" i="1"/>
  <c r="T170" i="1"/>
  <c r="Q170" i="1"/>
  <c r="N170" i="1"/>
  <c r="K170" i="1"/>
  <c r="H170" i="1"/>
  <c r="E170" i="1"/>
  <c r="AL168" i="1"/>
  <c r="AI168" i="1"/>
  <c r="AF168" i="1"/>
  <c r="AC168" i="1"/>
  <c r="Z168" i="1"/>
  <c r="W168" i="1"/>
  <c r="T168" i="1"/>
  <c r="Q168" i="1"/>
  <c r="N168" i="1"/>
  <c r="K168" i="1"/>
  <c r="H168" i="1"/>
  <c r="E168" i="1"/>
  <c r="AL165" i="1"/>
  <c r="AI165" i="1"/>
  <c r="AF165" i="1"/>
  <c r="AC165" i="1"/>
  <c r="Z165" i="1"/>
  <c r="W165" i="1"/>
  <c r="T165" i="1"/>
  <c r="Q165" i="1"/>
  <c r="N165" i="1"/>
  <c r="K165" i="1"/>
  <c r="H165" i="1"/>
  <c r="E165" i="1"/>
  <c r="AL164" i="1"/>
  <c r="AI164" i="1"/>
  <c r="AF164" i="1"/>
  <c r="AC164" i="1"/>
  <c r="Z164" i="1"/>
  <c r="W164" i="1"/>
  <c r="T164" i="1"/>
  <c r="Q164" i="1"/>
  <c r="N164" i="1"/>
  <c r="K164" i="1"/>
  <c r="H164" i="1"/>
  <c r="E164" i="1"/>
  <c r="AL162" i="1"/>
  <c r="AI162" i="1"/>
  <c r="AF162" i="1"/>
  <c r="AC162" i="1"/>
  <c r="Z162" i="1"/>
  <c r="W162" i="1"/>
  <c r="T162" i="1"/>
  <c r="Q162" i="1"/>
  <c r="N162" i="1"/>
  <c r="K162" i="1"/>
  <c r="H162" i="1"/>
  <c r="E162" i="1"/>
  <c r="N160" i="1"/>
  <c r="AL155" i="1"/>
  <c r="AL161" i="1" s="1"/>
  <c r="AI155" i="1"/>
  <c r="AI161" i="1" s="1"/>
  <c r="AF155" i="1"/>
  <c r="AF161" i="1" s="1"/>
  <c r="AC155" i="1"/>
  <c r="AC161" i="1" s="1"/>
  <c r="Z155" i="1"/>
  <c r="Z161" i="1" s="1"/>
  <c r="W155" i="1"/>
  <c r="W161" i="1" s="1"/>
  <c r="T155" i="1"/>
  <c r="T161" i="1" s="1"/>
  <c r="Q155" i="1"/>
  <c r="Q161" i="1" s="1"/>
  <c r="N155" i="1"/>
  <c r="N161" i="1" s="1"/>
  <c r="K155" i="1"/>
  <c r="K161" i="1" s="1"/>
  <c r="H155" i="1"/>
  <c r="H161" i="1" s="1"/>
  <c r="E155" i="1"/>
  <c r="E161" i="1" s="1"/>
  <c r="AL154" i="1"/>
  <c r="AL160" i="1" s="1"/>
  <c r="AI154" i="1"/>
  <c r="AI160" i="1" s="1"/>
  <c r="AF154" i="1"/>
  <c r="AF160" i="1" s="1"/>
  <c r="AC154" i="1"/>
  <c r="AC160" i="1" s="1"/>
  <c r="Z154" i="1"/>
  <c r="Z160" i="1" s="1"/>
  <c r="W154" i="1"/>
  <c r="W160" i="1" s="1"/>
  <c r="T154" i="1"/>
  <c r="T160" i="1" s="1"/>
  <c r="Q154" i="1"/>
  <c r="Q160" i="1" s="1"/>
  <c r="N154" i="1"/>
  <c r="K154" i="1"/>
  <c r="K160" i="1" s="1"/>
  <c r="H154" i="1"/>
  <c r="H160" i="1" s="1"/>
  <c r="E154" i="1"/>
  <c r="E160" i="1" s="1"/>
  <c r="AL153" i="1"/>
  <c r="AL159" i="1" s="1"/>
  <c r="AI153" i="1"/>
  <c r="AI159" i="1" s="1"/>
  <c r="AF153" i="1"/>
  <c r="AF159" i="1" s="1"/>
  <c r="AC153" i="1"/>
  <c r="AC159" i="1" s="1"/>
  <c r="Z153" i="1"/>
  <c r="Z159" i="1" s="1"/>
  <c r="W153" i="1"/>
  <c r="W159" i="1" s="1"/>
  <c r="T153" i="1"/>
  <c r="T159" i="1" s="1"/>
  <c r="Q153" i="1"/>
  <c r="Q159" i="1" s="1"/>
  <c r="N153" i="1"/>
  <c r="N159" i="1" s="1"/>
  <c r="K153" i="1"/>
  <c r="K159" i="1" s="1"/>
  <c r="H153" i="1"/>
  <c r="H159" i="1" s="1"/>
  <c r="E153" i="1"/>
  <c r="E159" i="1" s="1"/>
  <c r="AL150" i="1"/>
  <c r="AI150" i="1"/>
  <c r="AF150" i="1"/>
  <c r="AC150" i="1"/>
  <c r="Z150" i="1"/>
  <c r="W150" i="1"/>
  <c r="T150" i="1"/>
  <c r="Q150" i="1"/>
  <c r="N150" i="1"/>
  <c r="K150" i="1"/>
  <c r="H150" i="1"/>
  <c r="E150" i="1"/>
  <c r="AL149" i="1"/>
  <c r="AI149" i="1"/>
  <c r="AF149" i="1"/>
  <c r="AC149" i="1"/>
  <c r="Z149" i="1"/>
  <c r="W149" i="1"/>
  <c r="T149" i="1"/>
  <c r="Q149" i="1"/>
  <c r="Q151" i="1" s="1"/>
  <c r="N149" i="1"/>
  <c r="N151" i="1" s="1"/>
  <c r="K149" i="1"/>
  <c r="H149" i="1"/>
  <c r="E149" i="1"/>
  <c r="AL148" i="1"/>
  <c r="AI148" i="1"/>
  <c r="AF148" i="1"/>
  <c r="AC148" i="1"/>
  <c r="Z148" i="1"/>
  <c r="W148" i="1"/>
  <c r="W151" i="1" s="1"/>
  <c r="T148" i="1"/>
  <c r="T151" i="1" s="1"/>
  <c r="Q148" i="1"/>
  <c r="N148" i="1"/>
  <c r="K148" i="1"/>
  <c r="K151" i="1" s="1"/>
  <c r="H148" i="1"/>
  <c r="H151" i="1" s="1"/>
  <c r="E148" i="1"/>
  <c r="E151" i="1" s="1"/>
  <c r="AL146" i="1"/>
  <c r="AI146" i="1"/>
  <c r="AF146" i="1"/>
  <c r="AC146" i="1"/>
  <c r="Z146" i="1"/>
  <c r="W146" i="1"/>
  <c r="T146" i="1"/>
  <c r="Q146" i="1"/>
  <c r="N146" i="1"/>
  <c r="K146" i="1"/>
  <c r="H146" i="1"/>
  <c r="E146" i="1"/>
  <c r="AL145" i="1"/>
  <c r="AI145" i="1"/>
  <c r="AF145" i="1"/>
  <c r="AC145" i="1"/>
  <c r="Z145" i="1"/>
  <c r="W145" i="1"/>
  <c r="T145" i="1"/>
  <c r="Q145" i="1"/>
  <c r="N145" i="1"/>
  <c r="K145" i="1"/>
  <c r="H145" i="1"/>
  <c r="E145" i="1"/>
  <c r="AL144" i="1"/>
  <c r="AI144" i="1"/>
  <c r="AF144" i="1"/>
  <c r="AC144" i="1"/>
  <c r="Z144" i="1"/>
  <c r="W144" i="1"/>
  <c r="T144" i="1"/>
  <c r="Q144" i="1"/>
  <c r="N144" i="1"/>
  <c r="K144" i="1"/>
  <c r="H144" i="1"/>
  <c r="E144" i="1"/>
  <c r="AL143" i="1"/>
  <c r="AI143" i="1"/>
  <c r="AI147" i="1" s="1"/>
  <c r="AF143" i="1"/>
  <c r="AF147" i="1" s="1"/>
  <c r="AC143" i="1"/>
  <c r="Z143" i="1"/>
  <c r="W143" i="1"/>
  <c r="W147" i="1" s="1"/>
  <c r="T143" i="1"/>
  <c r="Q143" i="1"/>
  <c r="N143" i="1"/>
  <c r="K143" i="1"/>
  <c r="K147" i="1" s="1"/>
  <c r="H143" i="1"/>
  <c r="E143" i="1"/>
  <c r="E147" i="1" s="1"/>
  <c r="AL142" i="1"/>
  <c r="AI142" i="1"/>
  <c r="AF142" i="1"/>
  <c r="AC142" i="1"/>
  <c r="Z142" i="1"/>
  <c r="W142" i="1"/>
  <c r="T142" i="1"/>
  <c r="Q142" i="1"/>
  <c r="N142" i="1"/>
  <c r="K142" i="1"/>
  <c r="H142" i="1"/>
  <c r="E142" i="1"/>
  <c r="AL141" i="1"/>
  <c r="AI141" i="1"/>
  <c r="AF141" i="1"/>
  <c r="AC141" i="1"/>
  <c r="Z141" i="1"/>
  <c r="W141" i="1"/>
  <c r="T141" i="1"/>
  <c r="Q141" i="1"/>
  <c r="N141" i="1"/>
  <c r="K141" i="1"/>
  <c r="H141" i="1"/>
  <c r="H166" i="1" s="1"/>
  <c r="H167" i="1" s="1"/>
  <c r="E141" i="1"/>
  <c r="AL140" i="1"/>
  <c r="AI140" i="1"/>
  <c r="AF140" i="1"/>
  <c r="AC140" i="1"/>
  <c r="Z140" i="1"/>
  <c r="W140" i="1"/>
  <c r="T140" i="1"/>
  <c r="Q140" i="1"/>
  <c r="N140" i="1"/>
  <c r="K140" i="1"/>
  <c r="H140" i="1"/>
  <c r="E140" i="1"/>
  <c r="AL139" i="1"/>
  <c r="AI139" i="1"/>
  <c r="AF139" i="1"/>
  <c r="AC139" i="1"/>
  <c r="Z139" i="1"/>
  <c r="W139" i="1"/>
  <c r="T139" i="1"/>
  <c r="Q139" i="1"/>
  <c r="N139" i="1"/>
  <c r="K139" i="1"/>
  <c r="H139" i="1"/>
  <c r="E139" i="1"/>
  <c r="AL138" i="1"/>
  <c r="AI138" i="1"/>
  <c r="AF138" i="1"/>
  <c r="AC138" i="1"/>
  <c r="Z138" i="1"/>
  <c r="W138" i="1"/>
  <c r="T138" i="1"/>
  <c r="Q138" i="1"/>
  <c r="N138" i="1"/>
  <c r="K138" i="1"/>
  <c r="H138" i="1"/>
  <c r="E138" i="1"/>
  <c r="AL136" i="1"/>
  <c r="AI136" i="1"/>
  <c r="AF136" i="1"/>
  <c r="AC136" i="1"/>
  <c r="Z136" i="1"/>
  <c r="W136" i="1"/>
  <c r="T136" i="1"/>
  <c r="Q136" i="1"/>
  <c r="N136" i="1"/>
  <c r="K136" i="1"/>
  <c r="H136" i="1"/>
  <c r="E136" i="1"/>
  <c r="AL133" i="1"/>
  <c r="AI133" i="1"/>
  <c r="AF133" i="1"/>
  <c r="AC133" i="1"/>
  <c r="Z133" i="1"/>
  <c r="W133" i="1"/>
  <c r="T133" i="1"/>
  <c r="Q133" i="1"/>
  <c r="N133" i="1"/>
  <c r="K133" i="1"/>
  <c r="H133" i="1"/>
  <c r="E133" i="1"/>
  <c r="AL132" i="1"/>
  <c r="AI132" i="1"/>
  <c r="AF132" i="1"/>
  <c r="AC132" i="1"/>
  <c r="Z132" i="1"/>
  <c r="W132" i="1"/>
  <c r="T132" i="1"/>
  <c r="Q132" i="1"/>
  <c r="N132" i="1"/>
  <c r="K132" i="1"/>
  <c r="H132" i="1"/>
  <c r="E132" i="1"/>
  <c r="AL130" i="1"/>
  <c r="AI130" i="1"/>
  <c r="AF130" i="1"/>
  <c r="AC130" i="1"/>
  <c r="Z130" i="1"/>
  <c r="W130" i="1"/>
  <c r="T130" i="1"/>
  <c r="Q130" i="1"/>
  <c r="N130" i="1"/>
  <c r="K130" i="1"/>
  <c r="H130" i="1"/>
  <c r="E130" i="1"/>
  <c r="AL126" i="1"/>
  <c r="AI126" i="1"/>
  <c r="AF126" i="1"/>
  <c r="AC126" i="1"/>
  <c r="Z126" i="1"/>
  <c r="W126" i="1"/>
  <c r="T126" i="1"/>
  <c r="Q126" i="1"/>
  <c r="N126" i="1"/>
  <c r="K126" i="1"/>
  <c r="H126" i="1"/>
  <c r="E126" i="1"/>
  <c r="AL125" i="1"/>
  <c r="AI125" i="1"/>
  <c r="AF125" i="1"/>
  <c r="AC125" i="1"/>
  <c r="Z125" i="1"/>
  <c r="W125" i="1"/>
  <c r="T125" i="1"/>
  <c r="Q125" i="1"/>
  <c r="N125" i="1"/>
  <c r="K125" i="1"/>
  <c r="H125" i="1"/>
  <c r="E125" i="1"/>
  <c r="AL124" i="1"/>
  <c r="AI124" i="1"/>
  <c r="AF124" i="1"/>
  <c r="AC124" i="1"/>
  <c r="Z124" i="1"/>
  <c r="W124" i="1"/>
  <c r="T124" i="1"/>
  <c r="Q124" i="1"/>
  <c r="N124" i="1"/>
  <c r="K124" i="1"/>
  <c r="H124" i="1"/>
  <c r="E124" i="1"/>
  <c r="AL123" i="1"/>
  <c r="AL129" i="1" s="1"/>
  <c r="AI123" i="1"/>
  <c r="AI129" i="1" s="1"/>
  <c r="AF123" i="1"/>
  <c r="AF129" i="1" s="1"/>
  <c r="AC123" i="1"/>
  <c r="AC129" i="1" s="1"/>
  <c r="Z123" i="1"/>
  <c r="Z129" i="1" s="1"/>
  <c r="W123" i="1"/>
  <c r="W129" i="1" s="1"/>
  <c r="T123" i="1"/>
  <c r="T129" i="1" s="1"/>
  <c r="Q123" i="1"/>
  <c r="Q129" i="1" s="1"/>
  <c r="N123" i="1"/>
  <c r="N129" i="1" s="1"/>
  <c r="K123" i="1"/>
  <c r="K129" i="1" s="1"/>
  <c r="H123" i="1"/>
  <c r="H129" i="1" s="1"/>
  <c r="E123" i="1"/>
  <c r="E129" i="1" s="1"/>
  <c r="AL122" i="1"/>
  <c r="AL128" i="1" s="1"/>
  <c r="AI122" i="1"/>
  <c r="AI128" i="1" s="1"/>
  <c r="AF122" i="1"/>
  <c r="AF128" i="1" s="1"/>
  <c r="AC122" i="1"/>
  <c r="AC128" i="1" s="1"/>
  <c r="Z122" i="1"/>
  <c r="W122" i="1"/>
  <c r="T122" i="1"/>
  <c r="T128" i="1" s="1"/>
  <c r="Q122" i="1"/>
  <c r="N122" i="1"/>
  <c r="N128" i="1" s="1"/>
  <c r="K122" i="1"/>
  <c r="H122" i="1"/>
  <c r="E122" i="1"/>
  <c r="AL121" i="1"/>
  <c r="AI121" i="1"/>
  <c r="AI127" i="1" s="1"/>
  <c r="AF121" i="1"/>
  <c r="AC121" i="1"/>
  <c r="AC127" i="1" s="1"/>
  <c r="Z121" i="1"/>
  <c r="Z127" i="1" s="1"/>
  <c r="W121" i="1"/>
  <c r="W127" i="1" s="1"/>
  <c r="T121" i="1"/>
  <c r="T127" i="1" s="1"/>
  <c r="Q121" i="1"/>
  <c r="N121" i="1"/>
  <c r="K121" i="1"/>
  <c r="H121" i="1"/>
  <c r="E121" i="1"/>
  <c r="AL118" i="1"/>
  <c r="AI118" i="1"/>
  <c r="AF118" i="1"/>
  <c r="AC118" i="1"/>
  <c r="AC119" i="1" s="1"/>
  <c r="Z118" i="1"/>
  <c r="W118" i="1"/>
  <c r="T118" i="1"/>
  <c r="Q118" i="1"/>
  <c r="N118" i="1"/>
  <c r="K118" i="1"/>
  <c r="H118" i="1"/>
  <c r="E118" i="1"/>
  <c r="AL117" i="1"/>
  <c r="AI117" i="1"/>
  <c r="AF117" i="1"/>
  <c r="AF119" i="1" s="1"/>
  <c r="AC117" i="1"/>
  <c r="Z117" i="1"/>
  <c r="W117" i="1"/>
  <c r="T117" i="1"/>
  <c r="Q117" i="1"/>
  <c r="N117" i="1"/>
  <c r="K117" i="1"/>
  <c r="H117" i="1"/>
  <c r="E117" i="1"/>
  <c r="AL116" i="1"/>
  <c r="AL119" i="1" s="1"/>
  <c r="AI116" i="1"/>
  <c r="AI119" i="1" s="1"/>
  <c r="AF116" i="1"/>
  <c r="AC116" i="1"/>
  <c r="Z116" i="1"/>
  <c r="W116" i="1"/>
  <c r="W119" i="1" s="1"/>
  <c r="T116" i="1"/>
  <c r="Q116" i="1"/>
  <c r="N116" i="1"/>
  <c r="K116" i="1"/>
  <c r="H116" i="1"/>
  <c r="H119" i="1" s="1"/>
  <c r="E116" i="1"/>
  <c r="AL114" i="1"/>
  <c r="AI114" i="1"/>
  <c r="AF114" i="1"/>
  <c r="AC114" i="1"/>
  <c r="Z114" i="1"/>
  <c r="W114" i="1"/>
  <c r="T114" i="1"/>
  <c r="Q114" i="1"/>
  <c r="N114" i="1"/>
  <c r="K114" i="1"/>
  <c r="H114" i="1"/>
  <c r="E114" i="1"/>
  <c r="AL113" i="1"/>
  <c r="AI113" i="1"/>
  <c r="AF113" i="1"/>
  <c r="AC113" i="1"/>
  <c r="Z113" i="1"/>
  <c r="W113" i="1"/>
  <c r="T113" i="1"/>
  <c r="Q113" i="1"/>
  <c r="N113" i="1"/>
  <c r="K113" i="1"/>
  <c r="H113" i="1"/>
  <c r="E113" i="1"/>
  <c r="AL112" i="1"/>
  <c r="AI112" i="1"/>
  <c r="AF112" i="1"/>
  <c r="AC112" i="1"/>
  <c r="Z112" i="1"/>
  <c r="W112" i="1"/>
  <c r="T112" i="1"/>
  <c r="Q112" i="1"/>
  <c r="N112" i="1"/>
  <c r="K112" i="1"/>
  <c r="H112" i="1"/>
  <c r="E112" i="1"/>
  <c r="AL111" i="1"/>
  <c r="AL115" i="1" s="1"/>
  <c r="AI111" i="1"/>
  <c r="AF111" i="1"/>
  <c r="AC111" i="1"/>
  <c r="Z111" i="1"/>
  <c r="W111" i="1"/>
  <c r="T111" i="1"/>
  <c r="Q111" i="1"/>
  <c r="N111" i="1"/>
  <c r="K111" i="1"/>
  <c r="H111" i="1"/>
  <c r="E111" i="1"/>
  <c r="AL110" i="1"/>
  <c r="AI110" i="1"/>
  <c r="AF110" i="1"/>
  <c r="AC110" i="1"/>
  <c r="Z110" i="1"/>
  <c r="W110" i="1"/>
  <c r="T110" i="1"/>
  <c r="Q110" i="1"/>
  <c r="N110" i="1"/>
  <c r="K110" i="1"/>
  <c r="H110" i="1"/>
  <c r="E110" i="1"/>
  <c r="AL109" i="1"/>
  <c r="AI109" i="1"/>
  <c r="AF109" i="1"/>
  <c r="AC109" i="1"/>
  <c r="Z109" i="1"/>
  <c r="W109" i="1"/>
  <c r="T109" i="1"/>
  <c r="Q109" i="1"/>
  <c r="N109" i="1"/>
  <c r="K109" i="1"/>
  <c r="H109" i="1"/>
  <c r="E109" i="1"/>
  <c r="AL108" i="1"/>
  <c r="AI108" i="1"/>
  <c r="AF108" i="1"/>
  <c r="AC108" i="1"/>
  <c r="Z108" i="1"/>
  <c r="W108" i="1"/>
  <c r="T108" i="1"/>
  <c r="Q108" i="1"/>
  <c r="N108" i="1"/>
  <c r="K108" i="1"/>
  <c r="H108" i="1"/>
  <c r="E108" i="1"/>
  <c r="AL107" i="1"/>
  <c r="AI107" i="1"/>
  <c r="AF107" i="1"/>
  <c r="AC107" i="1"/>
  <c r="Z107" i="1"/>
  <c r="W107" i="1"/>
  <c r="T107" i="1"/>
  <c r="Q107" i="1"/>
  <c r="N107" i="1"/>
  <c r="K107" i="1"/>
  <c r="H107" i="1"/>
  <c r="E107" i="1"/>
  <c r="AL106" i="1"/>
  <c r="AI106" i="1"/>
  <c r="AF106" i="1"/>
  <c r="AC106" i="1"/>
  <c r="Z106" i="1"/>
  <c r="W106" i="1"/>
  <c r="T106" i="1"/>
  <c r="Q106" i="1"/>
  <c r="N106" i="1"/>
  <c r="K106" i="1"/>
  <c r="H106" i="1"/>
  <c r="E106" i="1"/>
  <c r="AL104" i="1"/>
  <c r="AI104" i="1"/>
  <c r="AF104" i="1"/>
  <c r="AC104" i="1"/>
  <c r="Z104" i="1"/>
  <c r="W104" i="1"/>
  <c r="T104" i="1"/>
  <c r="Q104" i="1"/>
  <c r="N104" i="1"/>
  <c r="K104" i="1"/>
  <c r="H104" i="1"/>
  <c r="E104" i="1"/>
  <c r="AL101" i="1"/>
  <c r="AI101" i="1"/>
  <c r="AF101" i="1"/>
  <c r="AC101" i="1"/>
  <c r="Z101" i="1"/>
  <c r="W101" i="1"/>
  <c r="T101" i="1"/>
  <c r="Q101" i="1"/>
  <c r="N101" i="1"/>
  <c r="K101" i="1"/>
  <c r="H101" i="1"/>
  <c r="E101" i="1"/>
  <c r="AL100" i="1"/>
  <c r="AI100" i="1"/>
  <c r="AF100" i="1"/>
  <c r="AC100" i="1"/>
  <c r="Z100" i="1"/>
  <c r="W100" i="1"/>
  <c r="T100" i="1"/>
  <c r="Q100" i="1"/>
  <c r="N100" i="1"/>
  <c r="K100" i="1"/>
  <c r="H100" i="1"/>
  <c r="E100" i="1"/>
  <c r="AL98" i="1"/>
  <c r="AI98" i="1"/>
  <c r="AF98" i="1"/>
  <c r="AC98" i="1"/>
  <c r="Z98" i="1"/>
  <c r="W98" i="1"/>
  <c r="T98" i="1"/>
  <c r="Q98" i="1"/>
  <c r="N98" i="1"/>
  <c r="K98" i="1"/>
  <c r="H98" i="1"/>
  <c r="E98" i="1"/>
  <c r="AL94" i="1"/>
  <c r="AI94" i="1"/>
  <c r="AF94" i="1"/>
  <c r="AC94" i="1"/>
  <c r="Z94" i="1"/>
  <c r="W94" i="1"/>
  <c r="T94" i="1"/>
  <c r="Q94" i="1"/>
  <c r="N94" i="1"/>
  <c r="K94" i="1"/>
  <c r="H94" i="1"/>
  <c r="E94" i="1"/>
  <c r="AL93" i="1"/>
  <c r="AI93" i="1"/>
  <c r="AF93" i="1"/>
  <c r="AC93" i="1"/>
  <c r="Z93" i="1"/>
  <c r="W93" i="1"/>
  <c r="T93" i="1"/>
  <c r="Q93" i="1"/>
  <c r="N93" i="1"/>
  <c r="K93" i="1"/>
  <c r="H93" i="1"/>
  <c r="E93" i="1"/>
  <c r="AL92" i="1"/>
  <c r="AI92" i="1"/>
  <c r="AF92" i="1"/>
  <c r="AC92" i="1"/>
  <c r="Z92" i="1"/>
  <c r="W92" i="1"/>
  <c r="T92" i="1"/>
  <c r="Q92" i="1"/>
  <c r="N92" i="1"/>
  <c r="K92" i="1"/>
  <c r="H92" i="1"/>
  <c r="E92" i="1"/>
  <c r="AL91" i="1"/>
  <c r="AL97" i="1" s="1"/>
  <c r="AI91" i="1"/>
  <c r="AI97" i="1" s="1"/>
  <c r="AF91" i="1"/>
  <c r="AF97" i="1" s="1"/>
  <c r="AC91" i="1"/>
  <c r="Z91" i="1"/>
  <c r="W91" i="1"/>
  <c r="T91" i="1"/>
  <c r="T97" i="1" s="1"/>
  <c r="Q91" i="1"/>
  <c r="Q97" i="1" s="1"/>
  <c r="N91" i="1"/>
  <c r="N97" i="1" s="1"/>
  <c r="K91" i="1"/>
  <c r="K97" i="1" s="1"/>
  <c r="H91" i="1"/>
  <c r="H97" i="1" s="1"/>
  <c r="E91" i="1"/>
  <c r="AL90" i="1"/>
  <c r="AL96" i="1" s="1"/>
  <c r="AI90" i="1"/>
  <c r="AI96" i="1" s="1"/>
  <c r="AF90" i="1"/>
  <c r="AF96" i="1" s="1"/>
  <c r="AC90" i="1"/>
  <c r="AC96" i="1" s="1"/>
  <c r="Z90" i="1"/>
  <c r="Z96" i="1" s="1"/>
  <c r="W90" i="1"/>
  <c r="W96" i="1" s="1"/>
  <c r="T90" i="1"/>
  <c r="T96" i="1" s="1"/>
  <c r="Q90" i="1"/>
  <c r="N90" i="1"/>
  <c r="K90" i="1"/>
  <c r="H90" i="1"/>
  <c r="E90" i="1"/>
  <c r="E96" i="1" s="1"/>
  <c r="AL89" i="1"/>
  <c r="AL95" i="1" s="1"/>
  <c r="AI89" i="1"/>
  <c r="AF89" i="1"/>
  <c r="AF95" i="1" s="1"/>
  <c r="AC89" i="1"/>
  <c r="Z89" i="1"/>
  <c r="Z95" i="1" s="1"/>
  <c r="W89" i="1"/>
  <c r="W95" i="1" s="1"/>
  <c r="T89" i="1"/>
  <c r="T95" i="1" s="1"/>
  <c r="Q89" i="1"/>
  <c r="Q95" i="1" s="1"/>
  <c r="N89" i="1"/>
  <c r="N95" i="1" s="1"/>
  <c r="K89" i="1"/>
  <c r="K95" i="1" s="1"/>
  <c r="H89" i="1"/>
  <c r="H95" i="1" s="1"/>
  <c r="E89" i="1"/>
  <c r="AL86" i="1"/>
  <c r="AI86" i="1"/>
  <c r="AF86" i="1"/>
  <c r="AC86" i="1"/>
  <c r="Z86" i="1"/>
  <c r="W86" i="1"/>
  <c r="T86" i="1"/>
  <c r="T87" i="1" s="1"/>
  <c r="Q86" i="1"/>
  <c r="N86" i="1"/>
  <c r="K86" i="1"/>
  <c r="H86" i="1"/>
  <c r="E86" i="1"/>
  <c r="AL85" i="1"/>
  <c r="AI85" i="1"/>
  <c r="AF85" i="1"/>
  <c r="AC85" i="1"/>
  <c r="Z85" i="1"/>
  <c r="Z87" i="1" s="1"/>
  <c r="W85" i="1"/>
  <c r="T85" i="1"/>
  <c r="Q85" i="1"/>
  <c r="N85" i="1"/>
  <c r="K85" i="1"/>
  <c r="H85" i="1"/>
  <c r="E85" i="1"/>
  <c r="AL84" i="1"/>
  <c r="AL87" i="1" s="1"/>
  <c r="AI84" i="1"/>
  <c r="AI87" i="1" s="1"/>
  <c r="AF84" i="1"/>
  <c r="AF87" i="1" s="1"/>
  <c r="AF88" i="1" s="1"/>
  <c r="AC84" i="1"/>
  <c r="AC87" i="1" s="1"/>
  <c r="Z84" i="1"/>
  <c r="W84" i="1"/>
  <c r="T84" i="1"/>
  <c r="Q84" i="1"/>
  <c r="N84" i="1"/>
  <c r="K84" i="1"/>
  <c r="H84" i="1"/>
  <c r="E84" i="1"/>
  <c r="E87" i="1" s="1"/>
  <c r="AL82" i="1"/>
  <c r="AI82" i="1"/>
  <c r="AF82" i="1"/>
  <c r="AC82" i="1"/>
  <c r="Z82" i="1"/>
  <c r="W82" i="1"/>
  <c r="T82" i="1"/>
  <c r="Q82" i="1"/>
  <c r="N82" i="1"/>
  <c r="K82" i="1"/>
  <c r="H82" i="1"/>
  <c r="E82" i="1"/>
  <c r="AL81" i="1"/>
  <c r="AI81" i="1"/>
  <c r="AF81" i="1"/>
  <c r="AC81" i="1"/>
  <c r="Z81" i="1"/>
  <c r="W81" i="1"/>
  <c r="T81" i="1"/>
  <c r="Q81" i="1"/>
  <c r="N81" i="1"/>
  <c r="K81" i="1"/>
  <c r="H81" i="1"/>
  <c r="E81" i="1"/>
  <c r="AL80" i="1"/>
  <c r="AI80" i="1"/>
  <c r="AF80" i="1"/>
  <c r="AC80" i="1"/>
  <c r="Z80" i="1"/>
  <c r="W80" i="1"/>
  <c r="T80" i="1"/>
  <c r="Q80" i="1"/>
  <c r="N80" i="1"/>
  <c r="K80" i="1"/>
  <c r="H80" i="1"/>
  <c r="E80" i="1"/>
  <c r="AL79" i="1"/>
  <c r="AL83" i="1" s="1"/>
  <c r="AI79" i="1"/>
  <c r="AI83" i="1" s="1"/>
  <c r="AF79" i="1"/>
  <c r="AF83" i="1" s="1"/>
  <c r="AC79" i="1"/>
  <c r="AC83" i="1" s="1"/>
  <c r="Z79" i="1"/>
  <c r="W79" i="1"/>
  <c r="T79" i="1"/>
  <c r="Q79" i="1"/>
  <c r="N79" i="1"/>
  <c r="K79" i="1"/>
  <c r="H79" i="1"/>
  <c r="E79" i="1"/>
  <c r="AL78" i="1"/>
  <c r="AI78" i="1"/>
  <c r="AF78" i="1"/>
  <c r="AC78" i="1"/>
  <c r="Z78" i="1"/>
  <c r="W78" i="1"/>
  <c r="T78" i="1"/>
  <c r="Q78" i="1"/>
  <c r="N78" i="1"/>
  <c r="K78" i="1"/>
  <c r="H78" i="1"/>
  <c r="E78" i="1"/>
  <c r="AL77" i="1"/>
  <c r="AI77" i="1"/>
  <c r="AF77" i="1"/>
  <c r="AC77" i="1"/>
  <c r="Z77" i="1"/>
  <c r="W77" i="1"/>
  <c r="T77" i="1"/>
  <c r="Q77" i="1"/>
  <c r="N77" i="1"/>
  <c r="K77" i="1"/>
  <c r="H77" i="1"/>
  <c r="E77" i="1"/>
  <c r="AL76" i="1"/>
  <c r="AI76" i="1"/>
  <c r="AF76" i="1"/>
  <c r="AC76" i="1"/>
  <c r="Z76" i="1"/>
  <c r="W76" i="1"/>
  <c r="T76" i="1"/>
  <c r="Q76" i="1"/>
  <c r="N76" i="1"/>
  <c r="K76" i="1"/>
  <c r="H76" i="1"/>
  <c r="E76" i="1"/>
  <c r="AL75" i="1"/>
  <c r="AI75" i="1"/>
  <c r="AF75" i="1"/>
  <c r="AC75" i="1"/>
  <c r="Z75" i="1"/>
  <c r="W75" i="1"/>
  <c r="T75" i="1"/>
  <c r="Q75" i="1"/>
  <c r="N75" i="1"/>
  <c r="K75" i="1"/>
  <c r="H75" i="1"/>
  <c r="E75" i="1"/>
  <c r="AL74" i="1"/>
  <c r="AI74" i="1"/>
  <c r="AF74" i="1"/>
  <c r="AC74" i="1"/>
  <c r="Z74" i="1"/>
  <c r="W74" i="1"/>
  <c r="T74" i="1"/>
  <c r="Q74" i="1"/>
  <c r="N74" i="1"/>
  <c r="K74" i="1"/>
  <c r="H74" i="1"/>
  <c r="E74" i="1"/>
  <c r="AL72" i="1"/>
  <c r="AI72" i="1"/>
  <c r="AF72" i="1"/>
  <c r="AC72" i="1"/>
  <c r="Z72" i="1"/>
  <c r="W72" i="1"/>
  <c r="T72" i="1"/>
  <c r="Q72" i="1"/>
  <c r="N72" i="1"/>
  <c r="K72" i="1"/>
  <c r="H72" i="1"/>
  <c r="E72" i="1"/>
  <c r="AL69" i="1"/>
  <c r="AI69" i="1"/>
  <c r="AF69" i="1"/>
  <c r="AC69" i="1"/>
  <c r="Z69" i="1"/>
  <c r="W69" i="1"/>
  <c r="T69" i="1"/>
  <c r="Q69" i="1"/>
  <c r="N69" i="1"/>
  <c r="K69" i="1"/>
  <c r="H69" i="1"/>
  <c r="E69" i="1"/>
  <c r="AL68" i="1"/>
  <c r="AI68" i="1"/>
  <c r="AF68" i="1"/>
  <c r="AC68" i="1"/>
  <c r="Z68" i="1"/>
  <c r="W68" i="1"/>
  <c r="T68" i="1"/>
  <c r="Q68" i="1"/>
  <c r="N68" i="1"/>
  <c r="K68" i="1"/>
  <c r="H68" i="1"/>
  <c r="E68" i="1"/>
  <c r="AL66" i="1"/>
  <c r="AI66" i="1"/>
  <c r="AF66" i="1"/>
  <c r="AC66" i="1"/>
  <c r="Z66" i="1"/>
  <c r="W66" i="1"/>
  <c r="T66" i="1"/>
  <c r="Q66" i="1"/>
  <c r="N66" i="1"/>
  <c r="K66" i="1"/>
  <c r="H66" i="1"/>
  <c r="E66" i="1"/>
  <c r="AF65" i="1"/>
  <c r="AL62" i="1"/>
  <c r="AI62" i="1"/>
  <c r="AF62" i="1"/>
  <c r="AC62" i="1"/>
  <c r="Z62" i="1"/>
  <c r="W62" i="1"/>
  <c r="T62" i="1"/>
  <c r="Q62" i="1"/>
  <c r="N62" i="1"/>
  <c r="K62" i="1"/>
  <c r="H62" i="1"/>
  <c r="E62" i="1"/>
  <c r="AL61" i="1"/>
  <c r="AI61" i="1"/>
  <c r="AF61" i="1"/>
  <c r="AC61" i="1"/>
  <c r="Z61" i="1"/>
  <c r="W61" i="1"/>
  <c r="T61" i="1"/>
  <c r="Q61" i="1"/>
  <c r="N61" i="1"/>
  <c r="K61" i="1"/>
  <c r="H61" i="1"/>
  <c r="E61" i="1"/>
  <c r="AL60" i="1"/>
  <c r="AI60" i="1"/>
  <c r="AF60" i="1"/>
  <c r="AC60" i="1"/>
  <c r="AC63" i="1" s="1"/>
  <c r="Z60" i="1"/>
  <c r="W60" i="1"/>
  <c r="T60" i="1"/>
  <c r="Q60" i="1"/>
  <c r="N60" i="1"/>
  <c r="K60" i="1"/>
  <c r="H60" i="1"/>
  <c r="H63" i="1" s="1"/>
  <c r="E60" i="1"/>
  <c r="AL59" i="1"/>
  <c r="AL65" i="1" s="1"/>
  <c r="AI59" i="1"/>
  <c r="AF59" i="1"/>
  <c r="AC59" i="1"/>
  <c r="Z59" i="1"/>
  <c r="Z65" i="1" s="1"/>
  <c r="W59" i="1"/>
  <c r="W65" i="1" s="1"/>
  <c r="T59" i="1"/>
  <c r="T65" i="1" s="1"/>
  <c r="Q59" i="1"/>
  <c r="Q65" i="1" s="1"/>
  <c r="N59" i="1"/>
  <c r="N65" i="1" s="1"/>
  <c r="K59" i="1"/>
  <c r="H59" i="1"/>
  <c r="H65" i="1" s="1"/>
  <c r="E59" i="1"/>
  <c r="E65" i="1" s="1"/>
  <c r="AL58" i="1"/>
  <c r="AL64" i="1" s="1"/>
  <c r="AI58" i="1"/>
  <c r="AI64" i="1" s="1"/>
  <c r="AF58" i="1"/>
  <c r="AF64" i="1" s="1"/>
  <c r="AC58" i="1"/>
  <c r="AC64" i="1" s="1"/>
  <c r="Z58" i="1"/>
  <c r="Z64" i="1" s="1"/>
  <c r="W58" i="1"/>
  <c r="T58" i="1"/>
  <c r="T64" i="1" s="1"/>
  <c r="Q58" i="1"/>
  <c r="N58" i="1"/>
  <c r="N64" i="1" s="1"/>
  <c r="K58" i="1"/>
  <c r="K64" i="1" s="1"/>
  <c r="H58" i="1"/>
  <c r="H64" i="1" s="1"/>
  <c r="E58" i="1"/>
  <c r="AL57" i="1"/>
  <c r="AL63" i="1" s="1"/>
  <c r="AI57" i="1"/>
  <c r="AF57" i="1"/>
  <c r="AF63" i="1" s="1"/>
  <c r="AC57" i="1"/>
  <c r="Z57" i="1"/>
  <c r="Z63" i="1" s="1"/>
  <c r="W57" i="1"/>
  <c r="W63" i="1" s="1"/>
  <c r="T57" i="1"/>
  <c r="T63" i="1" s="1"/>
  <c r="Q57" i="1"/>
  <c r="Q63" i="1" s="1"/>
  <c r="N57" i="1"/>
  <c r="N63" i="1" s="1"/>
  <c r="K57" i="1"/>
  <c r="H57" i="1"/>
  <c r="E57" i="1"/>
  <c r="W55" i="1"/>
  <c r="AL54" i="1"/>
  <c r="AI54" i="1"/>
  <c r="AF54" i="1"/>
  <c r="AC54" i="1"/>
  <c r="Z54" i="1"/>
  <c r="W54" i="1"/>
  <c r="T54" i="1"/>
  <c r="Q54" i="1"/>
  <c r="N54" i="1"/>
  <c r="K54" i="1"/>
  <c r="H54" i="1"/>
  <c r="E54" i="1"/>
  <c r="AL53" i="1"/>
  <c r="AI53" i="1"/>
  <c r="AF53" i="1"/>
  <c r="AC53" i="1"/>
  <c r="Z53" i="1"/>
  <c r="W53" i="1"/>
  <c r="T53" i="1"/>
  <c r="Q53" i="1"/>
  <c r="N53" i="1"/>
  <c r="K53" i="1"/>
  <c r="H53" i="1"/>
  <c r="E53" i="1"/>
  <c r="AL52" i="1"/>
  <c r="AL55" i="1" s="1"/>
  <c r="AI52" i="1"/>
  <c r="AI55" i="1" s="1"/>
  <c r="AF52" i="1"/>
  <c r="AC52" i="1"/>
  <c r="AC55" i="1" s="1"/>
  <c r="Z52" i="1"/>
  <c r="W52" i="1"/>
  <c r="T52" i="1"/>
  <c r="Q52" i="1"/>
  <c r="N52" i="1"/>
  <c r="K52" i="1"/>
  <c r="H52" i="1"/>
  <c r="E52" i="1"/>
  <c r="AL50" i="1"/>
  <c r="AI50" i="1"/>
  <c r="AF50" i="1"/>
  <c r="AC50" i="1"/>
  <c r="Z50" i="1"/>
  <c r="W50" i="1"/>
  <c r="T50" i="1"/>
  <c r="Q50" i="1"/>
  <c r="N50" i="1"/>
  <c r="K50" i="1"/>
  <c r="H50" i="1"/>
  <c r="E50" i="1"/>
  <c r="AL49" i="1"/>
  <c r="AI49" i="1"/>
  <c r="AF49" i="1"/>
  <c r="AC49" i="1"/>
  <c r="Z49" i="1"/>
  <c r="W49" i="1"/>
  <c r="T49" i="1"/>
  <c r="Q49" i="1"/>
  <c r="N49" i="1"/>
  <c r="K49" i="1"/>
  <c r="H49" i="1"/>
  <c r="E49" i="1"/>
  <c r="AL48" i="1"/>
  <c r="AI48" i="1"/>
  <c r="AF48" i="1"/>
  <c r="AC48" i="1"/>
  <c r="Z48" i="1"/>
  <c r="W48" i="1"/>
  <c r="T48" i="1"/>
  <c r="Q48" i="1"/>
  <c r="N48" i="1"/>
  <c r="K48" i="1"/>
  <c r="H48" i="1"/>
  <c r="E48" i="1"/>
  <c r="AL47" i="1"/>
  <c r="AL51" i="1" s="1"/>
  <c r="AI47" i="1"/>
  <c r="AI51" i="1" s="1"/>
  <c r="AF47" i="1"/>
  <c r="AF51" i="1" s="1"/>
  <c r="AC47" i="1"/>
  <c r="Z47" i="1"/>
  <c r="W47" i="1"/>
  <c r="T47" i="1"/>
  <c r="Q47" i="1"/>
  <c r="N47" i="1"/>
  <c r="K47" i="1"/>
  <c r="H47" i="1"/>
  <c r="E47" i="1"/>
  <c r="AL46" i="1"/>
  <c r="AI46" i="1"/>
  <c r="AF46" i="1"/>
  <c r="AC46" i="1"/>
  <c r="Z46" i="1"/>
  <c r="W46" i="1"/>
  <c r="T46" i="1"/>
  <c r="Q46" i="1"/>
  <c r="N46" i="1"/>
  <c r="K46" i="1"/>
  <c r="H46" i="1"/>
  <c r="E46" i="1"/>
  <c r="AL45" i="1"/>
  <c r="AI45" i="1"/>
  <c r="AF45" i="1"/>
  <c r="AC45" i="1"/>
  <c r="Z45" i="1"/>
  <c r="W45" i="1"/>
  <c r="T45" i="1"/>
  <c r="Q45" i="1"/>
  <c r="N45" i="1"/>
  <c r="K45" i="1"/>
  <c r="H45" i="1"/>
  <c r="E45" i="1"/>
  <c r="AL44" i="1"/>
  <c r="AI44" i="1"/>
  <c r="AF44" i="1"/>
  <c r="AC44" i="1"/>
  <c r="Z44" i="1"/>
  <c r="W44" i="1"/>
  <c r="T44" i="1"/>
  <c r="Q44" i="1"/>
  <c r="N44" i="1"/>
  <c r="K44" i="1"/>
  <c r="H44" i="1"/>
  <c r="E44" i="1"/>
  <c r="AL43" i="1"/>
  <c r="AI43" i="1"/>
  <c r="AF43" i="1"/>
  <c r="AC43" i="1"/>
  <c r="Z43" i="1"/>
  <c r="W43" i="1"/>
  <c r="T43" i="1"/>
  <c r="Q43" i="1"/>
  <c r="N43" i="1"/>
  <c r="K43" i="1"/>
  <c r="H43" i="1"/>
  <c r="E43" i="1"/>
  <c r="AL42" i="1"/>
  <c r="AI42" i="1"/>
  <c r="AF42" i="1"/>
  <c r="AC42" i="1"/>
  <c r="Z42" i="1"/>
  <c r="W42" i="1"/>
  <c r="T42" i="1"/>
  <c r="Q42" i="1"/>
  <c r="N42" i="1"/>
  <c r="K42" i="1"/>
  <c r="H42" i="1"/>
  <c r="E42" i="1"/>
  <c r="AL40" i="1"/>
  <c r="AI40" i="1"/>
  <c r="AF40" i="1"/>
  <c r="AC40" i="1"/>
  <c r="Z40" i="1"/>
  <c r="W40" i="1"/>
  <c r="T40" i="1"/>
  <c r="Q40" i="1"/>
  <c r="N40" i="1"/>
  <c r="K40" i="1"/>
  <c r="H40" i="1"/>
  <c r="E40" i="1"/>
  <c r="AL37" i="1"/>
  <c r="AI37" i="1"/>
  <c r="AF37" i="1"/>
  <c r="AC37" i="1"/>
  <c r="Z37" i="1"/>
  <c r="W37" i="1"/>
  <c r="T37" i="1"/>
  <c r="Q37" i="1"/>
  <c r="N37" i="1"/>
  <c r="K37" i="1"/>
  <c r="H37" i="1"/>
  <c r="E37" i="1"/>
  <c r="AL36" i="1"/>
  <c r="AI36" i="1"/>
  <c r="AF36" i="1"/>
  <c r="AC36" i="1"/>
  <c r="Z36" i="1"/>
  <c r="W36" i="1"/>
  <c r="T36" i="1"/>
  <c r="Q36" i="1"/>
  <c r="N36" i="1"/>
  <c r="K36" i="1"/>
  <c r="H36" i="1"/>
  <c r="E36" i="1"/>
  <c r="AL34" i="1"/>
  <c r="AI34" i="1"/>
  <c r="AF34" i="1"/>
  <c r="AC34" i="1"/>
  <c r="Z34" i="1"/>
  <c r="W34" i="1"/>
  <c r="T34" i="1"/>
  <c r="Q34" i="1"/>
  <c r="N34" i="1"/>
  <c r="K34" i="1"/>
  <c r="H34" i="1"/>
  <c r="E34" i="1"/>
  <c r="AL30" i="1"/>
  <c r="AI30" i="1"/>
  <c r="AF30" i="1"/>
  <c r="AC30" i="1"/>
  <c r="Z30" i="1"/>
  <c r="W30" i="1"/>
  <c r="T30" i="1"/>
  <c r="Q30" i="1"/>
  <c r="N30" i="1"/>
  <c r="K30" i="1"/>
  <c r="H30" i="1"/>
  <c r="E30" i="1"/>
  <c r="AL29" i="1"/>
  <c r="AI29" i="1"/>
  <c r="AF29" i="1"/>
  <c r="AC29" i="1"/>
  <c r="Z29" i="1"/>
  <c r="W29" i="1"/>
  <c r="T29" i="1"/>
  <c r="Q29" i="1"/>
  <c r="N29" i="1"/>
  <c r="K29" i="1"/>
  <c r="H29" i="1"/>
  <c r="E29" i="1"/>
  <c r="AL28" i="1"/>
  <c r="AI28" i="1"/>
  <c r="AF28" i="1"/>
  <c r="AC28" i="1"/>
  <c r="Z28" i="1"/>
  <c r="W28" i="1"/>
  <c r="T28" i="1"/>
  <c r="Q28" i="1"/>
  <c r="N28" i="1"/>
  <c r="K28" i="1"/>
  <c r="H28" i="1"/>
  <c r="E28" i="1"/>
  <c r="AL27" i="1"/>
  <c r="AI27" i="1"/>
  <c r="AI33" i="1" s="1"/>
  <c r="AF27" i="1"/>
  <c r="AF33" i="1" s="1"/>
  <c r="AC27" i="1"/>
  <c r="Z27" i="1"/>
  <c r="W27" i="1"/>
  <c r="T27" i="1"/>
  <c r="Q27" i="1"/>
  <c r="Q33" i="1" s="1"/>
  <c r="N27" i="1"/>
  <c r="K27" i="1"/>
  <c r="H27" i="1"/>
  <c r="E27" i="1"/>
  <c r="AL26" i="1"/>
  <c r="AL32" i="1" s="1"/>
  <c r="AI26" i="1"/>
  <c r="AI32" i="1" s="1"/>
  <c r="AF26" i="1"/>
  <c r="AF32" i="1" s="1"/>
  <c r="AC26" i="1"/>
  <c r="AC32" i="1" s="1"/>
  <c r="Z26" i="1"/>
  <c r="W26" i="1"/>
  <c r="W32" i="1" s="1"/>
  <c r="T26" i="1"/>
  <c r="T32" i="1" s="1"/>
  <c r="Q26" i="1"/>
  <c r="N26" i="1"/>
  <c r="K26" i="1"/>
  <c r="H26" i="1"/>
  <c r="E26" i="1"/>
  <c r="AL25" i="1"/>
  <c r="AI25" i="1"/>
  <c r="AI31" i="1" s="1"/>
  <c r="AF25" i="1"/>
  <c r="AC25" i="1"/>
  <c r="Z25" i="1"/>
  <c r="Z31" i="1" s="1"/>
  <c r="W25" i="1"/>
  <c r="W31" i="1" s="1"/>
  <c r="T25" i="1"/>
  <c r="T31" i="1" s="1"/>
  <c r="Q25" i="1"/>
  <c r="Q31" i="1" s="1"/>
  <c r="N25" i="1"/>
  <c r="K25" i="1"/>
  <c r="K31" i="1" s="1"/>
  <c r="H25" i="1"/>
  <c r="H31" i="1" s="1"/>
  <c r="E25" i="1"/>
  <c r="AL22" i="1"/>
  <c r="AI22" i="1"/>
  <c r="AF22" i="1"/>
  <c r="AC22" i="1"/>
  <c r="Z22" i="1"/>
  <c r="W22" i="1"/>
  <c r="W23" i="1" s="1"/>
  <c r="T22" i="1"/>
  <c r="Q22" i="1"/>
  <c r="N22" i="1"/>
  <c r="K22" i="1"/>
  <c r="H22" i="1"/>
  <c r="E22" i="1"/>
  <c r="AL21" i="1"/>
  <c r="AI21" i="1"/>
  <c r="AF21" i="1"/>
  <c r="AC21" i="1"/>
  <c r="Z21" i="1"/>
  <c r="W21" i="1"/>
  <c r="T21" i="1"/>
  <c r="Q21" i="1"/>
  <c r="N21" i="1"/>
  <c r="K21" i="1"/>
  <c r="H21" i="1"/>
  <c r="E21" i="1"/>
  <c r="AL20" i="1"/>
  <c r="AL23" i="1" s="1"/>
  <c r="AI20" i="1"/>
  <c r="AI23" i="1" s="1"/>
  <c r="AF20" i="1"/>
  <c r="AF23" i="1" s="1"/>
  <c r="AC20" i="1"/>
  <c r="AC23" i="1" s="1"/>
  <c r="Z20" i="1"/>
  <c r="Z23" i="1" s="1"/>
  <c r="W20" i="1"/>
  <c r="T20" i="1"/>
  <c r="T23" i="1" s="1"/>
  <c r="Q20" i="1"/>
  <c r="N20" i="1"/>
  <c r="K20" i="1"/>
  <c r="H20" i="1"/>
  <c r="E20" i="1"/>
  <c r="AL18" i="1"/>
  <c r="AI18" i="1"/>
  <c r="AF18" i="1"/>
  <c r="AC18" i="1"/>
  <c r="Z18" i="1"/>
  <c r="W18" i="1"/>
  <c r="T18" i="1"/>
  <c r="Q18" i="1"/>
  <c r="N18" i="1"/>
  <c r="K18" i="1"/>
  <c r="H18" i="1"/>
  <c r="E18" i="1"/>
  <c r="AL17" i="1"/>
  <c r="AI17" i="1"/>
  <c r="AF17" i="1"/>
  <c r="AC17" i="1"/>
  <c r="Z17" i="1"/>
  <c r="W17" i="1"/>
  <c r="T17" i="1"/>
  <c r="Q17" i="1"/>
  <c r="N17" i="1"/>
  <c r="K17" i="1"/>
  <c r="H17" i="1"/>
  <c r="E17" i="1"/>
  <c r="AL16" i="1"/>
  <c r="AI16" i="1"/>
  <c r="AF16" i="1"/>
  <c r="AC16" i="1"/>
  <c r="Z16" i="1"/>
  <c r="W16" i="1"/>
  <c r="T16" i="1"/>
  <c r="Q16" i="1"/>
  <c r="N16" i="1"/>
  <c r="K16" i="1"/>
  <c r="H16" i="1"/>
  <c r="E16" i="1"/>
  <c r="AL15" i="1"/>
  <c r="AL19" i="1" s="1"/>
  <c r="AI15" i="1"/>
  <c r="AI19" i="1" s="1"/>
  <c r="AF15" i="1"/>
  <c r="AF19" i="1" s="1"/>
  <c r="AC15" i="1"/>
  <c r="AC19" i="1" s="1"/>
  <c r="Z15" i="1"/>
  <c r="W15" i="1"/>
  <c r="T15" i="1"/>
  <c r="Q15" i="1"/>
  <c r="N15" i="1"/>
  <c r="K15" i="1"/>
  <c r="H15" i="1"/>
  <c r="E15" i="1"/>
  <c r="AL14" i="1"/>
  <c r="AI14" i="1"/>
  <c r="AF14" i="1"/>
  <c r="AC14" i="1"/>
  <c r="Z14" i="1"/>
  <c r="W14" i="1"/>
  <c r="T14" i="1"/>
  <c r="Q14" i="1"/>
  <c r="N14" i="1"/>
  <c r="K14" i="1"/>
  <c r="H14" i="1"/>
  <c r="E14" i="1"/>
  <c r="AL13" i="1"/>
  <c r="AI13" i="1"/>
  <c r="AF13" i="1"/>
  <c r="AC13" i="1"/>
  <c r="Z13" i="1"/>
  <c r="W13" i="1"/>
  <c r="T13" i="1"/>
  <c r="Q13" i="1"/>
  <c r="N13" i="1"/>
  <c r="K13" i="1"/>
  <c r="H13" i="1"/>
  <c r="E13" i="1"/>
  <c r="AL12" i="1"/>
  <c r="AI12" i="1"/>
  <c r="AF12" i="1"/>
  <c r="AC12" i="1"/>
  <c r="Z12" i="1"/>
  <c r="W12" i="1"/>
  <c r="T12" i="1"/>
  <c r="Q12" i="1"/>
  <c r="N12" i="1"/>
  <c r="K12" i="1"/>
  <c r="H12" i="1"/>
  <c r="E12" i="1"/>
  <c r="AL11" i="1"/>
  <c r="AI11" i="1"/>
  <c r="AF11" i="1"/>
  <c r="AC11" i="1"/>
  <c r="Z11" i="1"/>
  <c r="W11" i="1"/>
  <c r="T11" i="1"/>
  <c r="Q11" i="1"/>
  <c r="N11" i="1"/>
  <c r="K11" i="1"/>
  <c r="H11" i="1"/>
  <c r="E11" i="1"/>
  <c r="AL10" i="1"/>
  <c r="AI10" i="1"/>
  <c r="AF10" i="1"/>
  <c r="AC10" i="1"/>
  <c r="Z10" i="1"/>
  <c r="W10" i="1"/>
  <c r="T10" i="1"/>
  <c r="Q10" i="1"/>
  <c r="N10" i="1"/>
  <c r="K10" i="1"/>
  <c r="H10" i="1"/>
  <c r="E10" i="1"/>
  <c r="AL8" i="1"/>
  <c r="AI8" i="1"/>
  <c r="AF8" i="1"/>
  <c r="AC8" i="1"/>
  <c r="Z8" i="1"/>
  <c r="W8" i="1"/>
  <c r="T8" i="1"/>
  <c r="Q8" i="1"/>
  <c r="N8" i="1"/>
  <c r="K8" i="1"/>
  <c r="H8" i="1"/>
  <c r="E8" i="1"/>
  <c r="K262" i="1" l="1"/>
  <c r="K263" i="1" s="1"/>
  <c r="Z88" i="1"/>
  <c r="Z24" i="1"/>
  <c r="Q504" i="1"/>
  <c r="Q51" i="1"/>
  <c r="T19" i="1"/>
  <c r="T24" i="1" s="1"/>
  <c r="K32" i="1"/>
  <c r="W33" i="1"/>
  <c r="W19" i="1"/>
  <c r="N32" i="1"/>
  <c r="Z33" i="1"/>
  <c r="Z51" i="1"/>
  <c r="W83" i="1"/>
  <c r="N96" i="1"/>
  <c r="Z97" i="1"/>
  <c r="Z115" i="1"/>
  <c r="H127" i="1"/>
  <c r="T230" i="1"/>
  <c r="T231" i="1" s="1"/>
  <c r="Z247" i="1"/>
  <c r="Z248" i="1" s="1"/>
  <c r="E307" i="1"/>
  <c r="E311" i="1"/>
  <c r="E312" i="1" s="1"/>
  <c r="AC339" i="1"/>
  <c r="H422" i="1"/>
  <c r="H423" i="1" s="1"/>
  <c r="T403" i="1"/>
  <c r="Z19" i="1"/>
  <c r="E31" i="1"/>
  <c r="Q32" i="1"/>
  <c r="AC33" i="1"/>
  <c r="AC51" i="1"/>
  <c r="AC56" i="1" s="1"/>
  <c r="K63" i="1"/>
  <c r="W64" i="1"/>
  <c r="AI65" i="1"/>
  <c r="Z83" i="1"/>
  <c r="E95" i="1"/>
  <c r="Q96" i="1"/>
  <c r="AC97" i="1"/>
  <c r="AC115" i="1"/>
  <c r="AC120" i="1" s="1"/>
  <c r="K127" i="1"/>
  <c r="W128" i="1"/>
  <c r="W215" i="1"/>
  <c r="N294" i="1"/>
  <c r="N295" i="1" s="1"/>
  <c r="Z294" i="1"/>
  <c r="Z295" i="1" s="1"/>
  <c r="AL275" i="1"/>
  <c r="AF326" i="1"/>
  <c r="AF327" i="1" s="1"/>
  <c r="H307" i="1"/>
  <c r="AL390" i="1"/>
  <c r="AL391" i="1" s="1"/>
  <c r="W408" i="1"/>
  <c r="H472" i="1"/>
  <c r="T471" i="1"/>
  <c r="E102" i="1"/>
  <c r="E103" i="1" s="1"/>
  <c r="AF115" i="1"/>
  <c r="N127" i="1"/>
  <c r="Z128" i="1"/>
  <c r="N198" i="1"/>
  <c r="N199" i="1" s="1"/>
  <c r="AI115" i="1"/>
  <c r="Q127" i="1"/>
  <c r="Q518" i="1"/>
  <c r="Q519" i="1" s="1"/>
  <c r="H198" i="1"/>
  <c r="H199" i="1" s="1"/>
  <c r="H216" i="1"/>
  <c r="H262" i="1"/>
  <c r="H263" i="1" s="1"/>
  <c r="T262" i="1"/>
  <c r="T263" i="1" s="1"/>
  <c r="W294" i="1"/>
  <c r="W295" i="1" s="1"/>
  <c r="AF403" i="1"/>
  <c r="AF408" i="1" s="1"/>
  <c r="AL454" i="1"/>
  <c r="AL455" i="1" s="1"/>
  <c r="T518" i="1"/>
  <c r="T519" i="1" s="1"/>
  <c r="T531" i="1"/>
  <c r="T536" i="1" s="1"/>
  <c r="Z582" i="1"/>
  <c r="Z583" i="1" s="1"/>
  <c r="K198" i="1"/>
  <c r="K199" i="1" s="1"/>
  <c r="W262" i="1"/>
  <c r="W263" i="1" s="1"/>
  <c r="T358" i="1"/>
  <c r="T359" i="1" s="1"/>
  <c r="N376" i="1"/>
  <c r="Z375" i="1"/>
  <c r="AC439" i="1"/>
  <c r="AC440" i="1" s="1"/>
  <c r="T467" i="1"/>
  <c r="H503" i="1"/>
  <c r="H518" i="1" s="1"/>
  <c r="H519" i="1" s="1"/>
  <c r="W531" i="1"/>
  <c r="W535" i="1"/>
  <c r="E563" i="1"/>
  <c r="E567" i="1"/>
  <c r="E568" i="1" s="1"/>
  <c r="N147" i="1"/>
  <c r="N152" i="1" s="1"/>
  <c r="AL179" i="1"/>
  <c r="AL183" i="1"/>
  <c r="N211" i="1"/>
  <c r="AL243" i="1"/>
  <c r="AC294" i="1"/>
  <c r="AC295" i="1" s="1"/>
  <c r="E275" i="1"/>
  <c r="W311" i="1"/>
  <c r="W343" i="1"/>
  <c r="W358" i="1" s="1"/>
  <c r="W359" i="1" s="1"/>
  <c r="Q371" i="1"/>
  <c r="N422" i="1"/>
  <c r="N423" i="1" s="1"/>
  <c r="Z422" i="1"/>
  <c r="Z423" i="1" s="1"/>
  <c r="AL403" i="1"/>
  <c r="AF454" i="1"/>
  <c r="AF455" i="1" s="1"/>
  <c r="H435" i="1"/>
  <c r="Z518" i="1"/>
  <c r="Z519" i="1" s="1"/>
  <c r="Z531" i="1"/>
  <c r="Z535" i="1"/>
  <c r="AL535" i="1"/>
  <c r="AL550" i="1" s="1"/>
  <c r="AL551" i="1" s="1"/>
  <c r="AF582" i="1"/>
  <c r="AF583" i="1" s="1"/>
  <c r="H563" i="1"/>
  <c r="H567" i="1"/>
  <c r="Q70" i="1"/>
  <c r="Q71" i="1" s="1"/>
  <c r="T102" i="1"/>
  <c r="T103" i="1" s="1"/>
  <c r="H87" i="1"/>
  <c r="W134" i="1"/>
  <c r="W135" i="1" s="1"/>
  <c r="Q147" i="1"/>
  <c r="AI247" i="1"/>
  <c r="AI248" i="1" s="1"/>
  <c r="K247" i="1"/>
  <c r="H275" i="1"/>
  <c r="H279" i="1"/>
  <c r="T279" i="1"/>
  <c r="T294" i="1" s="1"/>
  <c r="T295" i="1" s="1"/>
  <c r="Z307" i="1"/>
  <c r="Z312" i="1" s="1"/>
  <c r="N343" i="1"/>
  <c r="T371" i="1"/>
  <c r="T375" i="1"/>
  <c r="AF375" i="1"/>
  <c r="AF376" i="1" s="1"/>
  <c r="K435" i="1"/>
  <c r="K439" i="1"/>
  <c r="K440" i="1" s="1"/>
  <c r="AI439" i="1"/>
  <c r="AI454" i="1" s="1"/>
  <c r="AI455" i="1" s="1"/>
  <c r="Z467" i="1"/>
  <c r="Z471" i="1"/>
  <c r="AL471" i="1"/>
  <c r="E499" i="1"/>
  <c r="AC531" i="1"/>
  <c r="AC535" i="1"/>
  <c r="K563" i="1"/>
  <c r="K567" i="1"/>
  <c r="K568" i="1" s="1"/>
  <c r="E38" i="1"/>
  <c r="E39" i="1" s="1"/>
  <c r="N31" i="1"/>
  <c r="Z32" i="1"/>
  <c r="AL33" i="1"/>
  <c r="AF127" i="1"/>
  <c r="H183" i="1"/>
  <c r="H184" i="1" s="1"/>
  <c r="T211" i="1"/>
  <c r="T216" i="1" s="1"/>
  <c r="AL247" i="1"/>
  <c r="AL248" i="1" s="1"/>
  <c r="AI294" i="1"/>
  <c r="AI295" i="1" s="1"/>
  <c r="K275" i="1"/>
  <c r="E344" i="1"/>
  <c r="Q343" i="1"/>
  <c r="Z439" i="1"/>
  <c r="H499" i="1"/>
  <c r="AF531" i="1"/>
  <c r="AF536" i="1"/>
  <c r="AL582" i="1"/>
  <c r="AL583" i="1" s="1"/>
  <c r="N563" i="1"/>
  <c r="N567" i="1"/>
  <c r="N582" i="1" s="1"/>
  <c r="N583" i="1" s="1"/>
  <c r="W38" i="1"/>
  <c r="W39" i="1" s="1"/>
  <c r="Z38" i="1"/>
  <c r="Z39" i="1" s="1"/>
  <c r="AC31" i="1"/>
  <c r="E33" i="1"/>
  <c r="AC70" i="1"/>
  <c r="AC71" i="1" s="1"/>
  <c r="E51" i="1"/>
  <c r="E55" i="1"/>
  <c r="Q55" i="1"/>
  <c r="AI63" i="1"/>
  <c r="K65" i="1"/>
  <c r="Z102" i="1"/>
  <c r="Z103" i="1" s="1"/>
  <c r="AC95" i="1"/>
  <c r="E97" i="1"/>
  <c r="AC134" i="1"/>
  <c r="AC135" i="1" s="1"/>
  <c r="E115" i="1"/>
  <c r="E119" i="1"/>
  <c r="W198" i="1"/>
  <c r="W199" i="1" s="1"/>
  <c r="E247" i="1"/>
  <c r="N275" i="1"/>
  <c r="AF307" i="1"/>
  <c r="AF312" i="1" s="1"/>
  <c r="H343" i="1"/>
  <c r="H344" i="1" s="1"/>
  <c r="Z371" i="1"/>
  <c r="H486" i="1"/>
  <c r="H487" i="1" s="1"/>
  <c r="K550" i="1"/>
  <c r="K551" i="1" s="1"/>
  <c r="AI531" i="1"/>
  <c r="W70" i="1"/>
  <c r="W71" i="1" s="1"/>
  <c r="E19" i="1"/>
  <c r="E23" i="1"/>
  <c r="Q23" i="1"/>
  <c r="Q38" i="1" s="1"/>
  <c r="Q39" i="1" s="1"/>
  <c r="H51" i="1"/>
  <c r="H55" i="1"/>
  <c r="H56" i="1" s="1"/>
  <c r="E83" i="1"/>
  <c r="E88" i="1" s="1"/>
  <c r="H115" i="1"/>
  <c r="H120" i="1" s="1"/>
  <c r="AL127" i="1"/>
  <c r="Z147" i="1"/>
  <c r="Z152" i="1" s="1"/>
  <c r="Z151" i="1"/>
  <c r="AL151" i="1"/>
  <c r="AL198" i="1"/>
  <c r="AL199" i="1" s="1"/>
  <c r="Z211" i="1"/>
  <c r="Z215" i="1"/>
  <c r="Z216" i="1" s="1"/>
  <c r="AL215" i="1"/>
  <c r="AL216" i="1" s="1"/>
  <c r="Z262" i="1"/>
  <c r="Z263" i="1" s="1"/>
  <c r="E294" i="1"/>
  <c r="E295" i="1" s="1"/>
  <c r="Q279" i="1"/>
  <c r="Q294" i="1" s="1"/>
  <c r="Q295" i="1" s="1"/>
  <c r="K339" i="1"/>
  <c r="K343" i="1"/>
  <c r="K344" i="1" s="1"/>
  <c r="AC375" i="1"/>
  <c r="AC390" i="1" s="1"/>
  <c r="AC391" i="1" s="1"/>
  <c r="T435" i="1"/>
  <c r="T439" i="1"/>
  <c r="K486" i="1"/>
  <c r="K487" i="1" s="1"/>
  <c r="AI467" i="1"/>
  <c r="N499" i="1"/>
  <c r="AL531" i="1"/>
  <c r="T563" i="1"/>
  <c r="T567" i="1"/>
  <c r="T582" i="1" s="1"/>
  <c r="T583" i="1" s="1"/>
  <c r="AF102" i="1"/>
  <c r="AF103" i="1" s="1"/>
  <c r="H83" i="1"/>
  <c r="AI95" i="1"/>
  <c r="AI134" i="1"/>
  <c r="AI135" i="1" s="1"/>
  <c r="K115" i="1"/>
  <c r="K119" i="1"/>
  <c r="K134" i="1" s="1"/>
  <c r="K135" i="1" s="1"/>
  <c r="E128" i="1"/>
  <c r="AC147" i="1"/>
  <c r="E183" i="1"/>
  <c r="AC211" i="1"/>
  <c r="E243" i="1"/>
  <c r="H294" i="1"/>
  <c r="H295" i="1" s="1"/>
  <c r="T275" i="1"/>
  <c r="AL307" i="1"/>
  <c r="AL311" i="1"/>
  <c r="AL358" i="1"/>
  <c r="AL359" i="1" s="1"/>
  <c r="N339" i="1"/>
  <c r="H390" i="1"/>
  <c r="H391" i="1" s="1"/>
  <c r="AF371" i="1"/>
  <c r="E403" i="1"/>
  <c r="E408" i="1" s="1"/>
  <c r="W435" i="1"/>
  <c r="W439" i="1"/>
  <c r="W454" i="1" s="1"/>
  <c r="W455" i="1" s="1"/>
  <c r="AL467" i="1"/>
  <c r="N503" i="1"/>
  <c r="N518" i="1" s="1"/>
  <c r="N519" i="1" s="1"/>
  <c r="Z503" i="1"/>
  <c r="T38" i="1"/>
  <c r="T39" i="1" s="1"/>
  <c r="AF38" i="1"/>
  <c r="AF39" i="1" s="1"/>
  <c r="H19" i="1"/>
  <c r="H23" i="1"/>
  <c r="H38" i="1" s="1"/>
  <c r="H39" i="1" s="1"/>
  <c r="K33" i="1"/>
  <c r="AI70" i="1"/>
  <c r="AI71" i="1" s="1"/>
  <c r="K51" i="1"/>
  <c r="K55" i="1"/>
  <c r="E64" i="1"/>
  <c r="AI38" i="1"/>
  <c r="AI39" i="1" s="1"/>
  <c r="K19" i="1"/>
  <c r="K23" i="1"/>
  <c r="K24" i="1" s="1"/>
  <c r="AL31" i="1"/>
  <c r="N33" i="1"/>
  <c r="AL70" i="1"/>
  <c r="AL71" i="1" s="1"/>
  <c r="N51" i="1"/>
  <c r="N55" i="1"/>
  <c r="N56" i="1" s="1"/>
  <c r="Z55" i="1"/>
  <c r="Z56" i="1" s="1"/>
  <c r="AI102" i="1"/>
  <c r="AI103" i="1" s="1"/>
  <c r="K83" i="1"/>
  <c r="K87" i="1"/>
  <c r="K102" i="1" s="1"/>
  <c r="K103" i="1" s="1"/>
  <c r="W87" i="1"/>
  <c r="AL134" i="1"/>
  <c r="AL135" i="1" s="1"/>
  <c r="N115" i="1"/>
  <c r="N119" i="1"/>
  <c r="Z119" i="1"/>
  <c r="Z134" i="1" s="1"/>
  <c r="Z135" i="1" s="1"/>
  <c r="H128" i="1"/>
  <c r="T147" i="1"/>
  <c r="T152" i="1" s="1"/>
  <c r="AF198" i="1"/>
  <c r="AF199" i="1" s="1"/>
  <c r="AF216" i="1"/>
  <c r="AF262" i="1"/>
  <c r="AF263" i="1" s="1"/>
  <c r="Q339" i="1"/>
  <c r="K375" i="1"/>
  <c r="K390" i="1" s="1"/>
  <c r="K391" i="1" s="1"/>
  <c r="H408" i="1"/>
  <c r="Z435" i="1"/>
  <c r="T499" i="1"/>
  <c r="T550" i="1"/>
  <c r="T551" i="1" s="1"/>
  <c r="Z563" i="1"/>
  <c r="Z568" i="1" s="1"/>
  <c r="Q115" i="1"/>
  <c r="Q119" i="1"/>
  <c r="Q134" i="1" s="1"/>
  <c r="Q135" i="1" s="1"/>
  <c r="K128" i="1"/>
  <c r="K166" i="1"/>
  <c r="K167" i="1" s="1"/>
  <c r="AI183" i="1"/>
  <c r="AI198" i="1" s="1"/>
  <c r="AI199" i="1" s="1"/>
  <c r="AI262" i="1"/>
  <c r="AI263" i="1" s="1"/>
  <c r="Z280" i="1"/>
  <c r="AL279" i="1"/>
  <c r="AL294" i="1" s="1"/>
  <c r="AL295" i="1" s="1"/>
  <c r="H358" i="1"/>
  <c r="H359" i="1" s="1"/>
  <c r="AL371" i="1"/>
  <c r="K518" i="1"/>
  <c r="K519" i="1" s="1"/>
  <c r="T504" i="1"/>
  <c r="AF503" i="1"/>
  <c r="AF504" i="1" s="1"/>
  <c r="W550" i="1"/>
  <c r="W551" i="1" s="1"/>
  <c r="AL38" i="1"/>
  <c r="AL39" i="1" s="1"/>
  <c r="N19" i="1"/>
  <c r="N23" i="1"/>
  <c r="E32" i="1"/>
  <c r="AL102" i="1"/>
  <c r="AL103" i="1" s="1"/>
  <c r="N83" i="1"/>
  <c r="N87" i="1"/>
  <c r="N88" i="1" s="1"/>
  <c r="Q19" i="1"/>
  <c r="Q24" i="1" s="1"/>
  <c r="H32" i="1"/>
  <c r="T33" i="1"/>
  <c r="AF31" i="1"/>
  <c r="H33" i="1"/>
  <c r="T51" i="1"/>
  <c r="T55" i="1"/>
  <c r="AF55" i="1"/>
  <c r="AF70" i="1" s="1"/>
  <c r="AF71" i="1" s="1"/>
  <c r="Q83" i="1"/>
  <c r="Q87" i="1"/>
  <c r="Q102" i="1" s="1"/>
  <c r="Q103" i="1" s="1"/>
  <c r="H96" i="1"/>
  <c r="T115" i="1"/>
  <c r="T119" i="1"/>
  <c r="AF120" i="1"/>
  <c r="Z166" i="1"/>
  <c r="Z167" i="1" s="1"/>
  <c r="AL147" i="1"/>
  <c r="N179" i="1"/>
  <c r="Z183" i="1"/>
  <c r="Z198" i="1" s="1"/>
  <c r="Z199" i="1" s="1"/>
  <c r="N230" i="1"/>
  <c r="N231" i="1" s="1"/>
  <c r="AL211" i="1"/>
  <c r="N243" i="1"/>
  <c r="N248" i="1" s="1"/>
  <c r="W326" i="1"/>
  <c r="W327" i="1" s="1"/>
  <c r="AI326" i="1"/>
  <c r="AI327" i="1" s="1"/>
  <c r="AL422" i="1"/>
  <c r="AL423" i="1" s="1"/>
  <c r="N403" i="1"/>
  <c r="H454" i="1"/>
  <c r="H455" i="1" s="1"/>
  <c r="AF435" i="1"/>
  <c r="AF440" i="1" s="1"/>
  <c r="W471" i="1"/>
  <c r="W486" i="1" s="1"/>
  <c r="W487" i="1" s="1"/>
  <c r="Z499" i="1"/>
  <c r="Z550" i="1"/>
  <c r="Z551" i="1" s="1"/>
  <c r="N535" i="1"/>
  <c r="N550" i="1" s="1"/>
  <c r="N551" i="1" s="1"/>
  <c r="AF563" i="1"/>
  <c r="AF568" i="1" s="1"/>
  <c r="W51" i="1"/>
  <c r="W56" i="1" s="1"/>
  <c r="E63" i="1"/>
  <c r="Q64" i="1"/>
  <c r="AC65" i="1"/>
  <c r="T83" i="1"/>
  <c r="T88" i="1" s="1"/>
  <c r="K96" i="1"/>
  <c r="W97" i="1"/>
  <c r="W115" i="1"/>
  <c r="W120" i="1" s="1"/>
  <c r="E127" i="1"/>
  <c r="Q128" i="1"/>
  <c r="Q179" i="1"/>
  <c r="AC183" i="1"/>
  <c r="AC198" i="1" s="1"/>
  <c r="AC199" i="1" s="1"/>
  <c r="AC230" i="1"/>
  <c r="AC231" i="1" s="1"/>
  <c r="E262" i="1"/>
  <c r="E263" i="1" s="1"/>
  <c r="AF275" i="1"/>
  <c r="Z326" i="1"/>
  <c r="Z327" i="1" s="1"/>
  <c r="AL326" i="1"/>
  <c r="AL327" i="1" s="1"/>
  <c r="Z339" i="1"/>
  <c r="Q403" i="1"/>
  <c r="Q407" i="1"/>
  <c r="AI435" i="1"/>
  <c r="N471" i="1"/>
  <c r="N486" i="1" s="1"/>
  <c r="N487" i="1" s="1"/>
  <c r="AC499" i="1"/>
  <c r="AC504" i="1" s="1"/>
  <c r="E531" i="1"/>
  <c r="E536" i="1" s="1"/>
  <c r="E70" i="1"/>
  <c r="E71" i="1" s="1"/>
  <c r="E134" i="1"/>
  <c r="E135" i="1" s="1"/>
  <c r="AC24" i="1"/>
  <c r="AC88" i="1"/>
  <c r="AF24" i="1"/>
  <c r="K70" i="1"/>
  <c r="K71" i="1" s="1"/>
  <c r="AI56" i="1"/>
  <c r="H102" i="1"/>
  <c r="H103" i="1" s="1"/>
  <c r="AI120" i="1"/>
  <c r="E152" i="1"/>
  <c r="E166" i="1"/>
  <c r="E167" i="1" s="1"/>
  <c r="Q152" i="1"/>
  <c r="K38" i="1"/>
  <c r="K39" i="1" s="1"/>
  <c r="AI24" i="1"/>
  <c r="N70" i="1"/>
  <c r="N71" i="1" s="1"/>
  <c r="AL56" i="1"/>
  <c r="AI88" i="1"/>
  <c r="N134" i="1"/>
  <c r="N135" i="1" s="1"/>
  <c r="AL120" i="1"/>
  <c r="N38" i="1"/>
  <c r="N39" i="1" s="1"/>
  <c r="AL24" i="1"/>
  <c r="N102" i="1"/>
  <c r="N103" i="1" s="1"/>
  <c r="AL88" i="1"/>
  <c r="K152" i="1"/>
  <c r="T70" i="1"/>
  <c r="T71" i="1" s="1"/>
  <c r="T134" i="1"/>
  <c r="T135" i="1" s="1"/>
  <c r="Z70" i="1"/>
  <c r="Z71" i="1" s="1"/>
  <c r="W102" i="1"/>
  <c r="W103" i="1" s="1"/>
  <c r="E56" i="1"/>
  <c r="Q56" i="1"/>
  <c r="E120" i="1"/>
  <c r="W152" i="1"/>
  <c r="AC38" i="1"/>
  <c r="AC39" i="1" s="1"/>
  <c r="E24" i="1"/>
  <c r="AC102" i="1"/>
  <c r="AC103" i="1" s="1"/>
  <c r="AF134" i="1"/>
  <c r="AF135" i="1" s="1"/>
  <c r="AL152" i="1"/>
  <c r="H24" i="1"/>
  <c r="K56" i="1"/>
  <c r="K120" i="1"/>
  <c r="K88" i="1"/>
  <c r="W88" i="1"/>
  <c r="N120" i="1"/>
  <c r="Z120" i="1"/>
  <c r="N24" i="1"/>
  <c r="T56" i="1"/>
  <c r="AF56" i="1"/>
  <c r="T120" i="1"/>
  <c r="W24" i="1"/>
  <c r="Q344" i="1"/>
  <c r="T408" i="1"/>
  <c r="N440" i="1"/>
  <c r="AI472" i="1"/>
  <c r="E198" i="1"/>
  <c r="E199" i="1" s="1"/>
  <c r="AC179" i="1"/>
  <c r="E248" i="1"/>
  <c r="Q358" i="1"/>
  <c r="Q359" i="1" s="1"/>
  <c r="E422" i="1"/>
  <c r="E423" i="1" s="1"/>
  <c r="Q440" i="1"/>
  <c r="Q550" i="1"/>
  <c r="Q551" i="1" s="1"/>
  <c r="AI535" i="1"/>
  <c r="AI536" i="1" s="1"/>
  <c r="AF230" i="1"/>
  <c r="AF231" i="1" s="1"/>
  <c r="AL262" i="1"/>
  <c r="AL263" i="1" s="1"/>
  <c r="T440" i="1"/>
  <c r="Z472" i="1"/>
  <c r="H568" i="1"/>
  <c r="AI230" i="1"/>
  <c r="AI231" i="1" s="1"/>
  <c r="K422" i="1"/>
  <c r="K423" i="1" s="1"/>
  <c r="W440" i="1"/>
  <c r="N166" i="1"/>
  <c r="N167" i="1" s="1"/>
  <c r="AL184" i="1"/>
  <c r="N280" i="1"/>
  <c r="K307" i="1"/>
  <c r="K312" i="1" s="1"/>
  <c r="W339" i="1"/>
  <c r="T344" i="1"/>
  <c r="N390" i="1"/>
  <c r="N391" i="1" s="1"/>
  <c r="T376" i="1"/>
  <c r="Q376" i="1"/>
  <c r="K408" i="1"/>
  <c r="AF472" i="1"/>
  <c r="W518" i="1"/>
  <c r="W519" i="1" s="1"/>
  <c r="E503" i="1"/>
  <c r="E504" i="1" s="1"/>
  <c r="N568" i="1"/>
  <c r="Q166" i="1"/>
  <c r="Q167" i="1" s="1"/>
  <c r="Q198" i="1"/>
  <c r="Q199" i="1" s="1"/>
  <c r="E211" i="1"/>
  <c r="N312" i="1"/>
  <c r="AC344" i="1"/>
  <c r="Q390" i="1"/>
  <c r="Q391" i="1" s="1"/>
  <c r="AC371" i="1"/>
  <c r="W376" i="1"/>
  <c r="AC403" i="1"/>
  <c r="AL408" i="1"/>
  <c r="E454" i="1"/>
  <c r="E455" i="1" s="1"/>
  <c r="H504" i="1"/>
  <c r="AC550" i="1"/>
  <c r="AC551" i="1" s="1"/>
  <c r="Q563" i="1"/>
  <c r="Q567" i="1"/>
  <c r="Q568" i="1" s="1"/>
  <c r="AC567" i="1"/>
  <c r="T166" i="1"/>
  <c r="T167" i="1" s="1"/>
  <c r="N216" i="1"/>
  <c r="H280" i="1"/>
  <c r="T280" i="1"/>
  <c r="Q311" i="1"/>
  <c r="Q312" i="1" s="1"/>
  <c r="AC311" i="1"/>
  <c r="E358" i="1"/>
  <c r="E359" i="1" s="1"/>
  <c r="AI344" i="1"/>
  <c r="Z408" i="1"/>
  <c r="T454" i="1"/>
  <c r="T455" i="1" s="1"/>
  <c r="T486" i="1"/>
  <c r="T487" i="1" s="1"/>
  <c r="AC518" i="1"/>
  <c r="AC519" i="1" s="1"/>
  <c r="AF550" i="1"/>
  <c r="AF551" i="1" s="1"/>
  <c r="T568" i="1"/>
  <c r="W166" i="1"/>
  <c r="W167" i="1" s="1"/>
  <c r="E215" i="1"/>
  <c r="E216" i="1" s="1"/>
  <c r="Q215" i="1"/>
  <c r="Q230" i="1" s="1"/>
  <c r="Q231" i="1" s="1"/>
  <c r="Q275" i="1"/>
  <c r="Q280" i="1" s="1"/>
  <c r="T312" i="1"/>
  <c r="Z344" i="1"/>
  <c r="AL344" i="1"/>
  <c r="AI371" i="1"/>
  <c r="AI376" i="1" s="1"/>
  <c r="AI403" i="1"/>
  <c r="AC407" i="1"/>
  <c r="AC408" i="1" s="1"/>
  <c r="K454" i="1"/>
  <c r="K455" i="1" s="1"/>
  <c r="AF518" i="1"/>
  <c r="AF519" i="1" s="1"/>
  <c r="AI550" i="1"/>
  <c r="AI551" i="1" s="1"/>
  <c r="W563" i="1"/>
  <c r="W567" i="1"/>
  <c r="AC151" i="1"/>
  <c r="AC152" i="1" s="1"/>
  <c r="W230" i="1"/>
  <c r="W231" i="1" s="1"/>
  <c r="W307" i="1"/>
  <c r="W312" i="1" s="1"/>
  <c r="K358" i="1"/>
  <c r="K359" i="1" s="1"/>
  <c r="N454" i="1"/>
  <c r="N455" i="1" s="1"/>
  <c r="AL440" i="1"/>
  <c r="Z486" i="1"/>
  <c r="Z487" i="1" s="1"/>
  <c r="AI518" i="1"/>
  <c r="AI519" i="1" s="1"/>
  <c r="H536" i="1"/>
  <c r="AF151" i="1"/>
  <c r="AF152" i="1" s="1"/>
  <c r="E179" i="1"/>
  <c r="E184" i="1" s="1"/>
  <c r="Q211" i="1"/>
  <c r="K215" i="1"/>
  <c r="K216" i="1" s="1"/>
  <c r="H248" i="1"/>
  <c r="K294" i="1"/>
  <c r="K295" i="1" s="1"/>
  <c r="W275" i="1"/>
  <c r="W280" i="1" s="1"/>
  <c r="E280" i="1"/>
  <c r="N326" i="1"/>
  <c r="N327" i="1" s="1"/>
  <c r="N358" i="1"/>
  <c r="N359" i="1" s="1"/>
  <c r="Z358" i="1"/>
  <c r="Z359" i="1" s="1"/>
  <c r="AF344" i="1"/>
  <c r="Q422" i="1"/>
  <c r="Q423" i="1" s="1"/>
  <c r="AI407" i="1"/>
  <c r="AI408" i="1" s="1"/>
  <c r="Q454" i="1"/>
  <c r="Q455" i="1" s="1"/>
  <c r="AC486" i="1"/>
  <c r="AC487" i="1" s="1"/>
  <c r="E467" i="1"/>
  <c r="AL518" i="1"/>
  <c r="AL519" i="1" s="1"/>
  <c r="Q531" i="1"/>
  <c r="Q536" i="1" s="1"/>
  <c r="E582" i="1"/>
  <c r="E583" i="1" s="1"/>
  <c r="AC563" i="1"/>
  <c r="H147" i="1"/>
  <c r="H152" i="1" s="1"/>
  <c r="AI151" i="1"/>
  <c r="AI152" i="1" s="1"/>
  <c r="H230" i="1"/>
  <c r="H231" i="1" s="1"/>
  <c r="N262" i="1"/>
  <c r="N263" i="1" s="1"/>
  <c r="T248" i="1"/>
  <c r="AF248" i="1"/>
  <c r="Q248" i="1"/>
  <c r="K280" i="1"/>
  <c r="E326" i="1"/>
  <c r="E327" i="1" s="1"/>
  <c r="AC307" i="1"/>
  <c r="AC358" i="1"/>
  <c r="AC359" i="1" s="1"/>
  <c r="T390" i="1"/>
  <c r="T391" i="1" s="1"/>
  <c r="AL376" i="1"/>
  <c r="T422" i="1"/>
  <c r="T423" i="1" s="1"/>
  <c r="AF422" i="1"/>
  <c r="AF423" i="1" s="1"/>
  <c r="H440" i="1"/>
  <c r="AF486" i="1"/>
  <c r="AF487" i="1" s="1"/>
  <c r="N472" i="1"/>
  <c r="H582" i="1"/>
  <c r="H583" i="1" s="1"/>
  <c r="K179" i="1"/>
  <c r="K184" i="1" s="1"/>
  <c r="AI184" i="1"/>
  <c r="W211" i="1"/>
  <c r="W216" i="1" s="1"/>
  <c r="Q262" i="1"/>
  <c r="Q263" i="1" s="1"/>
  <c r="AC243" i="1"/>
  <c r="AC248" i="1" s="1"/>
  <c r="W248" i="1"/>
  <c r="AC275" i="1"/>
  <c r="AC280" i="1" s="1"/>
  <c r="H326" i="1"/>
  <c r="H327" i="1" s="1"/>
  <c r="T326" i="1"/>
  <c r="T327" i="1" s="1"/>
  <c r="AF358" i="1"/>
  <c r="AF359" i="1" s="1"/>
  <c r="W390" i="1"/>
  <c r="W391" i="1" s="1"/>
  <c r="E375" i="1"/>
  <c r="E390" i="1" s="1"/>
  <c r="E391" i="1" s="1"/>
  <c r="W422" i="1"/>
  <c r="W423" i="1" s="1"/>
  <c r="AI486" i="1"/>
  <c r="AI487" i="1" s="1"/>
  <c r="K467" i="1"/>
  <c r="E471" i="1"/>
  <c r="Q471" i="1"/>
  <c r="Q472" i="1" s="1"/>
  <c r="Z504" i="1"/>
  <c r="K582" i="1"/>
  <c r="K583" i="1" s="1"/>
  <c r="AI563" i="1"/>
  <c r="AI567" i="1"/>
  <c r="AI582" i="1" s="1"/>
  <c r="AI583" i="1" s="1"/>
  <c r="AL166" i="1"/>
  <c r="AL167" i="1" s="1"/>
  <c r="N184" i="1"/>
  <c r="Z184" i="1"/>
  <c r="AC216" i="1"/>
  <c r="K326" i="1"/>
  <c r="K327" i="1" s="1"/>
  <c r="AI307" i="1"/>
  <c r="AI312" i="1" s="1"/>
  <c r="AI358" i="1"/>
  <c r="AI359" i="1" s="1"/>
  <c r="Z390" i="1"/>
  <c r="Z391" i="1" s="1"/>
  <c r="Z454" i="1"/>
  <c r="Z455" i="1" s="1"/>
  <c r="AL486" i="1"/>
  <c r="AL487" i="1" s="1"/>
  <c r="K536" i="1"/>
  <c r="AL568" i="1"/>
  <c r="Q184" i="1"/>
  <c r="AC184" i="1"/>
  <c r="AF184" i="1"/>
  <c r="E230" i="1"/>
  <c r="E231" i="1" s="1"/>
  <c r="AI216" i="1"/>
  <c r="AI275" i="1"/>
  <c r="AI280" i="1" s="1"/>
  <c r="AL312" i="1"/>
  <c r="E371" i="1"/>
  <c r="Q467" i="1"/>
  <c r="K472" i="1"/>
  <c r="W504" i="1"/>
  <c r="E550" i="1"/>
  <c r="E551" i="1" s="1"/>
  <c r="Q582" i="1"/>
  <c r="Q583" i="1" s="1"/>
  <c r="H134" i="1"/>
  <c r="H135" i="1" s="1"/>
  <c r="T184" i="1"/>
  <c r="AF280" i="1"/>
  <c r="Q326" i="1"/>
  <c r="Q327" i="1" s="1"/>
  <c r="W344" i="1"/>
  <c r="AF390" i="1"/>
  <c r="AF391" i="1" s="1"/>
  <c r="N408" i="1"/>
  <c r="H550" i="1"/>
  <c r="H551" i="1" s="1"/>
  <c r="Z536" i="1"/>
  <c r="AL536" i="1"/>
  <c r="W184" i="1"/>
  <c r="K230" i="1"/>
  <c r="K231" i="1" s="1"/>
  <c r="K248" i="1"/>
  <c r="H312" i="1"/>
  <c r="N344" i="1"/>
  <c r="AI390" i="1"/>
  <c r="AI391" i="1" s="1"/>
  <c r="K371" i="1"/>
  <c r="AI422" i="1"/>
  <c r="AI423" i="1" s="1"/>
  <c r="AI440" i="1"/>
  <c r="W467" i="1"/>
  <c r="W472" i="1" s="1"/>
  <c r="AC472" i="1"/>
  <c r="AC536" i="1"/>
  <c r="W582" i="1"/>
  <c r="W583" i="1" s="1"/>
  <c r="AL280" i="1" l="1"/>
  <c r="N536" i="1"/>
  <c r="H70" i="1"/>
  <c r="H71" i="1" s="1"/>
  <c r="AC454" i="1"/>
  <c r="AC455" i="1" s="1"/>
  <c r="AL230" i="1"/>
  <c r="AL231" i="1" s="1"/>
  <c r="Q88" i="1"/>
  <c r="AC376" i="1"/>
  <c r="Q120" i="1"/>
  <c r="AI166" i="1"/>
  <c r="AI167" i="1" s="1"/>
  <c r="Q408" i="1"/>
  <c r="Z440" i="1"/>
  <c r="K376" i="1"/>
  <c r="AC312" i="1"/>
  <c r="Z230" i="1"/>
  <c r="Z231" i="1" s="1"/>
  <c r="N504" i="1"/>
  <c r="AL472" i="1"/>
  <c r="W536" i="1"/>
  <c r="H88" i="1"/>
  <c r="Z376" i="1"/>
  <c r="T472" i="1"/>
  <c r="AC422" i="1"/>
  <c r="AC423" i="1" s="1"/>
  <c r="AI568" i="1"/>
  <c r="E518" i="1"/>
  <c r="E519" i="1" s="1"/>
  <c r="AC166" i="1"/>
  <c r="AC167" i="1" s="1"/>
  <c r="Q486" i="1"/>
  <c r="Q487" i="1" s="1"/>
  <c r="E472" i="1"/>
  <c r="E486" i="1"/>
  <c r="E487" i="1" s="1"/>
  <c r="Q216" i="1"/>
  <c r="AC568" i="1"/>
  <c r="AC326" i="1"/>
  <c r="AC327" i="1" s="1"/>
  <c r="E376" i="1"/>
  <c r="W568" i="1"/>
  <c r="AC582" i="1"/>
  <c r="AC583" i="1" s="1"/>
  <c r="AF166" i="1"/>
  <c r="AF167" i="1" s="1"/>
</calcChain>
</file>

<file path=xl/sharedStrings.xml><?xml version="1.0" encoding="utf-8"?>
<sst xmlns="http://schemas.openxmlformats.org/spreadsheetml/2006/main" count="2348" uniqueCount="78">
  <si>
    <t>CPACES - AYLIK OPERASYONEL VE FİNANSAL HAM VERİ TABLOSU (2026)</t>
  </si>
  <si>
    <t>Lokasyon</t>
  </si>
  <si>
    <t>Gelir Merkezi</t>
  </si>
  <si>
    <t>Finansal &amp; Operasyonel Metrikler</t>
  </si>
  <si>
    <t>Birim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</si>
  <si>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</si>
  <si>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</si>
  <si>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</si>
  <si>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</si>
  <si>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</si>
  <si>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</si>
  <si>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</si>
  <si>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</si>
  <si>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</si>
  <si>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</si>
  <si>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</si>
  <si>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</si>
  <si>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FERIYE</t>
  </si>
  <si>
    <t>Feriye Lokantası</t>
  </si>
  <si>
    <t>Kuver</t>
  </si>
  <si>
    <t>Adet</t>
  </si>
  <si>
    <t>Çek Sayısı</t>
  </si>
  <si>
    <t>Yiyecek Geliri</t>
  </si>
  <si>
    <t>TL</t>
  </si>
  <si>
    <t>İçecek Geliri</t>
  </si>
  <si>
    <t>Diğer Gelirler</t>
  </si>
  <si>
    <t>Yiyecek Maliyeti</t>
  </si>
  <si>
    <t>İçecek Maliyeti</t>
  </si>
  <si>
    <t>Kadrolu Sayısı</t>
  </si>
  <si>
    <t>Kişi</t>
  </si>
  <si>
    <t>Taşeron Sayısı</t>
  </si>
  <si>
    <t>Extra Sayısı</t>
  </si>
  <si>
    <t>Stajyer Sayısı</t>
  </si>
  <si>
    <t>Toplam Personel  Sayısı</t>
  </si>
  <si>
    <t>Kadrolu Maaş</t>
  </si>
  <si>
    <t>Taşeron Maaş</t>
  </si>
  <si>
    <t>Extra Maaş</t>
  </si>
  <si>
    <t>Toplam Personel Maaşı</t>
  </si>
  <si>
    <t>Ortalama Personel Maaşı</t>
  </si>
  <si>
    <t>Elektrik Gideri</t>
  </si>
  <si>
    <t>Doğalgaz Gideri</t>
  </si>
  <si>
    <t>Su Gideri</t>
  </si>
  <si>
    <t>Elektrik Sarfiyat</t>
  </si>
  <si>
    <t>kWh</t>
  </si>
  <si>
    <t>Doğalgaz Sarfiyat</t>
  </si>
  <si>
    <t>m3</t>
  </si>
  <si>
    <t>Su Sarfiyat</t>
  </si>
  <si>
    <t>Elektrik Birim Fiyat</t>
  </si>
  <si>
    <t>Doğalgaz Birim Fiyat</t>
  </si>
  <si>
    <t>Su Birim Fiyat</t>
  </si>
  <si>
    <t>Kira Gideri</t>
  </si>
  <si>
    <t>Koltuk Kapasitesi</t>
  </si>
  <si>
    <t>C-PACES Ortak Giderler</t>
  </si>
  <si>
    <t>Diğer Operasyonel Giderler</t>
  </si>
  <si>
    <t>Toplam Giderler</t>
  </si>
  <si>
    <t>Fark</t>
  </si>
  <si>
    <t>Feriye Banket</t>
  </si>
  <si>
    <t>Feriye Cafe</t>
  </si>
  <si>
    <t>Dotshub Banquet</t>
  </si>
  <si>
    <t>Yansıtma &amp; Diğer</t>
  </si>
  <si>
    <t>Fiili</t>
  </si>
  <si>
    <t>Bütçe</t>
  </si>
  <si>
    <t>LK MADERA</t>
  </si>
  <si>
    <t>Madera Restoran</t>
  </si>
  <si>
    <t>Madera Rest. Banket</t>
  </si>
  <si>
    <t>LK Banket</t>
  </si>
  <si>
    <t>LK Cafe</t>
  </si>
  <si>
    <t>MODERN</t>
  </si>
  <si>
    <t>Modern Restoran</t>
  </si>
  <si>
    <t>Modern Cafe</t>
  </si>
  <si>
    <t>Modern Banket</t>
  </si>
  <si>
    <t>DEKK Akmerkez</t>
  </si>
  <si>
    <t>Dekk Merkez</t>
  </si>
  <si>
    <t>Dekk Bar</t>
  </si>
  <si>
    <t>Dekk Cream &amp; Sugar</t>
  </si>
  <si>
    <t>Dekk Pop-Up</t>
  </si>
  <si>
    <t>Dekk Banket</t>
  </si>
  <si>
    <t>Dekk Alt Isletmeler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</si>
</sst>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₺-41F]* #,##0.00_-;\-[$₺-41F]* #,##0.00_-;_-[$₺-41F]* &quot;-&quot;??_-;_-@_-"/>
    <numFmt numFmtId="165" formatCode="_-* #,##0_-;\-* #,##0_-;_-* &quot;-&quot;??_-;_-@_-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rgb="FF1F4E78"/>
      <name val="Segoe UI"/>
      <family val="2"/>
      <charset val="162"/>
    </font>
    <font>
      <b/>
      <sz val="10"/>
      <color rgb="FF1F4E78"/>
      <name val="Segoe UI"/>
      <family val="2"/>
      <charset val="162"/>
    </font>
    <font>
      <b/>
      <sz val="10"/>
      <color rgb="FFFF0000"/>
      <name val="Segoe UI"/>
      <family val="2"/>
      <charset val="162"/>
    </font>
    <font>
      <b/>
      <sz val="10"/>
      <color rgb="FFFFFFFF"/>
      <name val="Segoe UI"/>
      <family val="2"/>
      <charset val="162"/>
    </font>
    <font>
      <b/>
      <sz val="8"/>
      <color rgb="FF000000"/>
      <name val="Segoe UI"/>
      <family val="2"/>
      <charset val="162"/>
    </font>
    <font>
      <i/>
      <sz val="8"/>
      <color rgb="FF595959"/>
      <name val="Segoe UI"/>
      <family val="2"/>
      <charset val="162"/>
    </font>
    <font>
      <sz val="8"/>
      <color theme="1"/>
      <name val="Segoe UI"/>
      <family val="2"/>
      <charset val="162"/>
    </font>
    <font>
      <b/>
      <sz val="8"/>
      <color theme="1"/>
      <name val="Segoe U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dotted">
        <color rgb="FFD9D9D9"/>
      </right>
      <top style="thin">
        <color rgb="FFD9D9D9"/>
      </top>
      <bottom style="dotted">
        <color rgb="FFD9D9D9"/>
      </bottom>
      <diagonal/>
    </border>
    <border>
      <left/>
      <right style="dotted">
        <color rgb="FFD9D9D9"/>
      </right>
      <top style="thin">
        <color rgb="FFD9D9D9"/>
      </top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 style="thin">
        <color rgb="FFD9D9D9"/>
      </top>
      <bottom style="dotted">
        <color rgb="FFD9D9D9"/>
      </bottom>
      <diagonal/>
    </border>
    <border>
      <left style="dotted">
        <color rgb="FFD9D9D9"/>
      </left>
      <right/>
      <top style="thin">
        <color rgb="FFD9D9D9"/>
      </top>
      <bottom style="dotted">
        <color rgb="FFD9D9D9"/>
      </bottom>
      <diagonal/>
    </border>
    <border>
      <left style="thin">
        <color rgb="FFD9D9D9"/>
      </left>
      <right style="dotted">
        <color rgb="FFD9D9D9"/>
      </right>
      <top style="dotted">
        <color rgb="FFD9D9D9"/>
      </top>
      <bottom style="thin">
        <color rgb="FFD9D9D9"/>
      </bottom>
      <diagonal/>
    </border>
    <border>
      <left/>
      <right style="dotted">
        <color rgb="FFD9D9D9"/>
      </right>
      <top style="dotted">
        <color rgb="FFD9D9D9"/>
      </top>
      <bottom style="thin">
        <color rgb="FFD9D9D9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thin">
        <color rgb="FFD9D9D9"/>
      </bottom>
      <diagonal/>
    </border>
    <border>
      <left style="dotted">
        <color rgb="FFD9D9D9"/>
      </left>
      <right/>
      <top style="dotted">
        <color rgb="FFD9D9D9"/>
      </top>
      <bottom style="thin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dotted">
        <color rgb="FFD9D9D9"/>
      </left>
      <right/>
      <top style="dotted">
        <color rgb="FFD9D9D9"/>
      </top>
      <bottom style="dotted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/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thin">
        <color rgb="FFD9D9D9"/>
      </left>
      <right style="dotted">
        <color rgb="FFD9D9D9"/>
      </right>
      <top style="dotted">
        <color rgb="FFD9D9D9"/>
      </top>
      <bottom/>
      <diagonal/>
    </border>
    <border>
      <left/>
      <right style="dotted">
        <color rgb="FFD9D9D9"/>
      </right>
      <top style="dotted">
        <color rgb="FFD9D9D9"/>
      </top>
      <bottom/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/>
      <diagonal/>
    </border>
    <border>
      <left style="dotted">
        <color rgb="FFD9D9D9"/>
      </left>
      <right/>
      <top style="dotted">
        <color rgb="FFD9D9D9"/>
      </top>
      <bottom/>
      <diagonal/>
    </border>
    <border>
      <left style="thin">
        <color rgb="FFD9D9D9"/>
      </left>
      <right style="dotted">
        <color rgb="FFD9D9D9"/>
      </right>
      <top style="hair">
        <color rgb="FFD9D9D9"/>
      </top>
      <bottom style="hair">
        <color rgb="FFD9D9D9"/>
      </bottom>
      <diagonal/>
    </border>
    <border>
      <left/>
      <right style="dotted">
        <color rgb="FFD9D9D9"/>
      </right>
      <top style="hair">
        <color rgb="FFD9D9D9"/>
      </top>
      <bottom style="hair">
        <color rgb="FFD9D9D9"/>
      </bottom>
      <diagonal/>
    </border>
    <border>
      <left style="dotted">
        <color rgb="FFD9D9D9"/>
      </left>
      <right style="dotted">
        <color rgb="FFD9D9D9"/>
      </right>
      <top style="hair">
        <color rgb="FFD9D9D9"/>
      </top>
      <bottom style="hair">
        <color rgb="FFD9D9D9"/>
      </bottom>
      <diagonal/>
    </border>
    <border>
      <left style="dotted">
        <color rgb="FFD9D9D9"/>
      </left>
      <right/>
      <top style="hair">
        <color rgb="FFD9D9D9"/>
      </top>
      <bottom style="hair">
        <color rgb="FFD9D9D9"/>
      </bottom>
      <diagonal/>
    </border>
    <border>
      <left style="thin">
        <color rgb="FFD9D9D9"/>
      </left>
      <right style="dotted">
        <color rgb="FFD9D9D9"/>
      </right>
      <top style="hair">
        <color rgb="FFD9D9D9"/>
      </top>
      <bottom style="thin">
        <color rgb="FFD9D9D9"/>
      </bottom>
      <diagonal/>
    </border>
    <border>
      <left/>
      <right style="dotted">
        <color rgb="FFD9D9D9"/>
      </right>
      <top style="hair">
        <color rgb="FFD9D9D9"/>
      </top>
      <bottom style="thin">
        <color rgb="FFD9D9D9"/>
      </bottom>
      <diagonal/>
    </border>
    <border>
      <left style="dotted">
        <color rgb="FFD9D9D9"/>
      </left>
      <right style="dotted">
        <color rgb="FFD9D9D9"/>
      </right>
      <top style="hair">
        <color rgb="FFD9D9D9"/>
      </top>
      <bottom style="thin">
        <color rgb="FFD9D9D9"/>
      </bottom>
      <diagonal/>
    </border>
    <border>
      <left style="dotted">
        <color rgb="FFD9D9D9"/>
      </left>
      <right/>
      <top style="hair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dotted">
        <color rgb="FFD9D9D9"/>
      </right>
      <top style="medium">
        <color indexed="64"/>
      </top>
      <bottom style="dotted">
        <color rgb="FFD9D9D9"/>
      </bottom>
      <diagonal/>
    </border>
    <border>
      <left/>
      <right style="dotted">
        <color rgb="FFD9D9D9"/>
      </right>
      <top style="medium">
        <color indexed="64"/>
      </top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 style="medium">
        <color indexed="64"/>
      </top>
      <bottom style="dotted">
        <color rgb="FFD9D9D9"/>
      </bottom>
      <diagonal/>
    </border>
    <border>
      <left style="dotted">
        <color rgb="FFD9D9D9"/>
      </left>
      <right/>
      <top style="medium">
        <color indexed="64"/>
      </top>
      <bottom style="dotted">
        <color rgb="FFD9D9D9"/>
      </bottom>
      <diagonal/>
    </border>
    <border>
      <left style="dotted">
        <color rgb="FFD9D9D9"/>
      </left>
      <right style="medium">
        <color indexed="64"/>
      </right>
      <top style="medium">
        <color indexed="64"/>
      </top>
      <bottom style="dotted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9D9D9"/>
      </left>
      <right style="medium">
        <color indexed="64"/>
      </right>
      <top style="dotted">
        <color rgb="FFD9D9D9"/>
      </top>
      <bottom style="thin">
        <color rgb="FFD9D9D9"/>
      </bottom>
      <diagonal/>
    </border>
    <border>
      <left style="dotted">
        <color rgb="FFD9D9D9"/>
      </left>
      <right style="medium">
        <color indexed="64"/>
      </right>
      <top style="thin">
        <color rgb="FFD9D9D9"/>
      </top>
      <bottom style="dotted">
        <color rgb="FFD9D9D9"/>
      </bottom>
      <diagonal/>
    </border>
    <border>
      <left style="dotted">
        <color rgb="FFD9D9D9"/>
      </left>
      <right style="medium">
        <color indexed="64"/>
      </right>
      <top style="dotted">
        <color rgb="FFD9D9D9"/>
      </top>
      <bottom style="dotted">
        <color rgb="FFD9D9D9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dotted">
        <color rgb="FFD9D9D9"/>
      </top>
      <bottom style="dotted">
        <color rgb="FFD9D9D9"/>
      </bottom>
      <diagonal/>
    </border>
    <border>
      <left style="thin">
        <color rgb="FFD9D9D9"/>
      </left>
      <right style="medium">
        <color indexed="64"/>
      </right>
      <top style="dotted">
        <color rgb="FFD9D9D9"/>
      </top>
      <bottom/>
      <diagonal/>
    </border>
    <border>
      <left style="thin">
        <color rgb="FFD9D9D9"/>
      </left>
      <right style="medium">
        <color indexed="64"/>
      </right>
      <top style="dotted">
        <color rgb="FFD9D9D9"/>
      </top>
      <bottom style="thin">
        <color rgb="FFD9D9D9"/>
      </bottom>
      <diagonal/>
    </border>
    <border>
      <left style="dotted">
        <color rgb="FFD9D9D9"/>
      </left>
      <right style="medium">
        <color indexed="64"/>
      </right>
      <top style="dotted">
        <color rgb="FFD9D9D9"/>
      </top>
      <bottom/>
      <diagonal/>
    </border>
    <border>
      <left style="dotted">
        <color rgb="FFD9D9D9"/>
      </left>
      <right style="medium">
        <color indexed="64"/>
      </right>
      <top style="hair">
        <color rgb="FFD9D9D9"/>
      </top>
      <bottom style="hair">
        <color rgb="FFD9D9D9"/>
      </bottom>
      <diagonal/>
    </border>
    <border>
      <left style="dotted">
        <color rgb="FFD9D9D9"/>
      </left>
      <right style="medium">
        <color indexed="64"/>
      </right>
      <top style="hair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dotted">
        <color rgb="FFD9D9D9"/>
      </right>
      <top style="dotted">
        <color rgb="FFD9D9D9"/>
      </top>
      <bottom style="medium">
        <color indexed="64"/>
      </bottom>
      <diagonal/>
    </border>
    <border>
      <left/>
      <right style="dotted">
        <color rgb="FFD9D9D9"/>
      </right>
      <top style="dotted">
        <color rgb="FFD9D9D9"/>
      </top>
      <bottom style="medium">
        <color indexed="64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medium">
        <color indexed="64"/>
      </bottom>
      <diagonal/>
    </border>
    <border>
      <left style="dotted">
        <color rgb="FFD9D9D9"/>
      </left>
      <right/>
      <top style="dotted">
        <color rgb="FFD9D9D9"/>
      </top>
      <bottom style="medium">
        <color indexed="64"/>
      </bottom>
      <diagonal/>
    </border>
    <border>
      <left style="dotted">
        <color rgb="FFD9D9D9"/>
      </left>
      <right style="medium">
        <color indexed="64"/>
      </right>
      <top style="dotted">
        <color rgb="FFD9D9D9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64" fontId="8" fillId="4" borderId="4" xfId="0" applyNumberFormat="1" applyFont="1" applyFill="1" applyBorder="1"/>
    <xf numFmtId="164" fontId="8" fillId="4" borderId="5" xfId="0" applyNumberFormat="1" applyFont="1" applyFill="1" applyBorder="1"/>
    <xf numFmtId="164" fontId="8" fillId="4" borderId="6" xfId="0" applyNumberFormat="1" applyFont="1" applyFill="1" applyBorder="1"/>
    <xf numFmtId="164" fontId="8" fillId="4" borderId="7" xfId="0" applyNumberFormat="1" applyFont="1" applyFill="1" applyBorder="1"/>
    <xf numFmtId="164" fontId="8" fillId="4" borderId="12" xfId="0" applyNumberFormat="1" applyFont="1" applyFill="1" applyBorder="1"/>
    <xf numFmtId="164" fontId="8" fillId="4" borderId="13" xfId="0" applyNumberFormat="1" applyFont="1" applyFill="1" applyBorder="1"/>
    <xf numFmtId="164" fontId="8" fillId="4" borderId="14" xfId="0" applyNumberFormat="1" applyFont="1" applyFill="1" applyBorder="1"/>
    <xf numFmtId="164" fontId="8" fillId="4" borderId="8" xfId="0" applyNumberFormat="1" applyFont="1" applyFill="1" applyBorder="1"/>
    <xf numFmtId="164" fontId="8" fillId="4" borderId="9" xfId="0" applyNumberFormat="1" applyFont="1" applyFill="1" applyBorder="1"/>
    <xf numFmtId="164" fontId="8" fillId="4" borderId="10" xfId="0" applyNumberFormat="1" applyFont="1" applyFill="1" applyBorder="1"/>
    <xf numFmtId="164" fontId="8" fillId="4" borderId="11" xfId="0" applyNumberFormat="1" applyFont="1" applyFill="1" applyBorder="1"/>
    <xf numFmtId="164" fontId="9" fillId="4" borderId="4" xfId="0" applyNumberFormat="1" applyFont="1" applyFill="1" applyBorder="1"/>
    <xf numFmtId="164" fontId="9" fillId="4" borderId="5" xfId="0" applyNumberFormat="1" applyFont="1" applyFill="1" applyBorder="1"/>
    <xf numFmtId="164" fontId="9" fillId="4" borderId="6" xfId="0" applyNumberFormat="1" applyFont="1" applyFill="1" applyBorder="1"/>
    <xf numFmtId="164" fontId="9" fillId="4" borderId="7" xfId="0" applyNumberFormat="1" applyFont="1" applyFill="1" applyBorder="1"/>
    <xf numFmtId="164" fontId="9" fillId="4" borderId="8" xfId="0" applyNumberFormat="1" applyFont="1" applyFill="1" applyBorder="1"/>
    <xf numFmtId="164" fontId="9" fillId="4" borderId="9" xfId="0" applyNumberFormat="1" applyFont="1" applyFill="1" applyBorder="1"/>
    <xf numFmtId="164" fontId="9" fillId="4" borderId="10" xfId="0" applyNumberFormat="1" applyFont="1" applyFill="1" applyBorder="1"/>
    <xf numFmtId="164" fontId="9" fillId="4" borderId="11" xfId="0" applyNumberFormat="1" applyFont="1" applyFill="1" applyBorder="1"/>
    <xf numFmtId="0" fontId="6" fillId="0" borderId="15" xfId="0" applyFont="1" applyBorder="1" applyAlignment="1">
      <alignment horizontal="center"/>
    </xf>
    <xf numFmtId="0" fontId="6" fillId="0" borderId="15" xfId="0" applyFont="1" applyBorder="1"/>
    <xf numFmtId="0" fontId="7" fillId="0" borderId="15" xfId="0" applyFont="1" applyBorder="1" applyAlignment="1">
      <alignment horizontal="center"/>
    </xf>
    <xf numFmtId="164" fontId="8" fillId="4" borderId="16" xfId="0" applyNumberFormat="1" applyFont="1" applyFill="1" applyBorder="1"/>
    <xf numFmtId="164" fontId="8" fillId="4" borderId="17" xfId="0" applyNumberFormat="1" applyFont="1" applyFill="1" applyBorder="1"/>
    <xf numFmtId="164" fontId="9" fillId="4" borderId="18" xfId="0" applyNumberFormat="1" applyFont="1" applyFill="1" applyBorder="1"/>
    <xf numFmtId="164" fontId="9" fillId="4" borderId="19" xfId="0" applyNumberFormat="1" applyFont="1" applyFill="1" applyBorder="1"/>
    <xf numFmtId="164" fontId="9" fillId="4" borderId="20" xfId="0" applyNumberFormat="1" applyFont="1" applyFill="1" applyBorder="1"/>
    <xf numFmtId="164" fontId="9" fillId="4" borderId="21" xfId="0" applyNumberFormat="1" applyFont="1" applyFill="1" applyBorder="1"/>
    <xf numFmtId="164" fontId="9" fillId="0" borderId="4" xfId="0" applyNumberFormat="1" applyFont="1" applyBorder="1"/>
    <xf numFmtId="164" fontId="9" fillId="0" borderId="5" xfId="0" applyNumberFormat="1" applyFont="1" applyBorder="1"/>
    <xf numFmtId="164" fontId="9" fillId="0" borderId="6" xfId="0" applyNumberFormat="1" applyFont="1" applyBorder="1"/>
    <xf numFmtId="164" fontId="9" fillId="0" borderId="7" xfId="0" applyNumberFormat="1" applyFont="1" applyBorder="1"/>
    <xf numFmtId="164" fontId="9" fillId="0" borderId="16" xfId="0" applyNumberFormat="1" applyFont="1" applyBorder="1"/>
    <xf numFmtId="164" fontId="9" fillId="0" borderId="17" xfId="0" applyNumberFormat="1" applyFont="1" applyBorder="1"/>
    <xf numFmtId="164" fontId="9" fillId="0" borderId="13" xfId="0" applyNumberFormat="1" applyFont="1" applyBorder="1"/>
    <xf numFmtId="164" fontId="9" fillId="0" borderId="14" xfId="0" applyNumberFormat="1" applyFont="1" applyBorder="1"/>
    <xf numFmtId="164" fontId="8" fillId="0" borderId="22" xfId="1" applyNumberFormat="1" applyFont="1" applyBorder="1"/>
    <xf numFmtId="43" fontId="8" fillId="0" borderId="23" xfId="1" applyFont="1" applyBorder="1"/>
    <xf numFmtId="164" fontId="8" fillId="0" borderId="24" xfId="1" applyNumberFormat="1" applyFont="1" applyBorder="1"/>
    <xf numFmtId="43" fontId="8" fillId="0" borderId="24" xfId="1" applyFont="1" applyBorder="1"/>
    <xf numFmtId="43" fontId="8" fillId="0" borderId="25" xfId="1" applyFont="1" applyBorder="1"/>
    <xf numFmtId="164" fontId="8" fillId="0" borderId="26" xfId="1" applyNumberFormat="1" applyFont="1" applyBorder="1"/>
    <xf numFmtId="43" fontId="8" fillId="0" borderId="27" xfId="1" applyFont="1" applyBorder="1"/>
    <xf numFmtId="164" fontId="8" fillId="0" borderId="28" xfId="1" applyNumberFormat="1" applyFont="1" applyBorder="1"/>
    <xf numFmtId="43" fontId="8" fillId="0" borderId="28" xfId="1" applyFont="1" applyBorder="1"/>
    <xf numFmtId="43" fontId="8" fillId="0" borderId="29" xfId="1" applyFont="1" applyBorder="1"/>
    <xf numFmtId="164" fontId="9" fillId="3" borderId="4" xfId="0" applyNumberFormat="1" applyFont="1" applyFill="1" applyBorder="1"/>
    <xf numFmtId="164" fontId="9" fillId="3" borderId="5" xfId="0" applyNumberFormat="1" applyFont="1" applyFill="1" applyBorder="1"/>
    <xf numFmtId="164" fontId="9" fillId="3" borderId="6" xfId="0" applyNumberFormat="1" applyFont="1" applyFill="1" applyBorder="1"/>
    <xf numFmtId="164" fontId="9" fillId="3" borderId="7" xfId="0" applyNumberFormat="1" applyFont="1" applyFill="1" applyBorder="1"/>
    <xf numFmtId="164" fontId="0" fillId="0" borderId="0" xfId="0" applyNumberFormat="1"/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1" xfId="0" applyFont="1" applyBorder="1"/>
    <xf numFmtId="0" fontId="7" fillId="0" borderId="31" xfId="0" applyFont="1" applyBorder="1" applyAlignment="1">
      <alignment horizontal="center"/>
    </xf>
    <xf numFmtId="0" fontId="8" fillId="3" borderId="32" xfId="0" applyFont="1" applyFill="1" applyBorder="1" applyAlignment="1">
      <alignment horizontal="center"/>
    </xf>
    <xf numFmtId="0" fontId="8" fillId="3" borderId="33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164" fontId="8" fillId="4" borderId="39" xfId="0" applyNumberFormat="1" applyFont="1" applyFill="1" applyBorder="1"/>
    <xf numFmtId="164" fontId="8" fillId="4" borderId="40" xfId="0" applyNumberFormat="1" applyFont="1" applyFill="1" applyBorder="1"/>
    <xf numFmtId="164" fontId="8" fillId="4" borderId="38" xfId="0" applyNumberFormat="1" applyFont="1" applyFill="1" applyBorder="1"/>
    <xf numFmtId="164" fontId="9" fillId="4" borderId="39" xfId="0" applyNumberFormat="1" applyFont="1" applyFill="1" applyBorder="1"/>
    <xf numFmtId="164" fontId="9" fillId="4" borderId="38" xfId="0" applyNumberFormat="1" applyFont="1" applyFill="1" applyBorder="1"/>
    <xf numFmtId="1" fontId="8" fillId="3" borderId="4" xfId="1" applyNumberFormat="1" applyFont="1" applyFill="1" applyBorder="1" applyAlignment="1">
      <alignment horizontal="center"/>
    </xf>
    <xf numFmtId="1" fontId="8" fillId="3" borderId="5" xfId="1" applyNumberFormat="1" applyFont="1" applyFill="1" applyBorder="1" applyAlignment="1">
      <alignment horizontal="center"/>
    </xf>
    <xf numFmtId="1" fontId="8" fillId="3" borderId="6" xfId="0" applyNumberFormat="1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1" fontId="8" fillId="3" borderId="39" xfId="0" applyNumberFormat="1" applyFont="1" applyFill="1" applyBorder="1" applyAlignment="1">
      <alignment horizontal="center"/>
    </xf>
    <xf numFmtId="0" fontId="6" fillId="0" borderId="41" xfId="0" applyFont="1" applyBorder="1" applyAlignment="1">
      <alignment horizontal="center"/>
    </xf>
    <xf numFmtId="1" fontId="8" fillId="3" borderId="16" xfId="0" applyNumberFormat="1" applyFont="1" applyFill="1" applyBorder="1" applyAlignment="1">
      <alignment horizontal="center"/>
    </xf>
    <xf numFmtId="1" fontId="8" fillId="3" borderId="17" xfId="0" applyNumberFormat="1" applyFont="1" applyFill="1" applyBorder="1" applyAlignment="1">
      <alignment horizontal="center"/>
    </xf>
    <xf numFmtId="1" fontId="8" fillId="3" borderId="13" xfId="0" applyNumberFormat="1" applyFont="1" applyFill="1" applyBorder="1" applyAlignment="1">
      <alignment horizontal="center"/>
    </xf>
    <xf numFmtId="1" fontId="8" fillId="3" borderId="14" xfId="0" applyNumberFormat="1" applyFont="1" applyFill="1" applyBorder="1" applyAlignment="1">
      <alignment horizontal="center"/>
    </xf>
    <xf numFmtId="1" fontId="8" fillId="3" borderId="40" xfId="0" applyNumberFormat="1" applyFont="1" applyFill="1" applyBorder="1" applyAlignment="1">
      <alignment horizontal="center"/>
    </xf>
    <xf numFmtId="1" fontId="8" fillId="3" borderId="42" xfId="0" applyNumberFormat="1" applyFont="1" applyFill="1" applyBorder="1" applyAlignment="1">
      <alignment horizontal="center"/>
    </xf>
    <xf numFmtId="164" fontId="8" fillId="4" borderId="42" xfId="0" applyNumberFormat="1" applyFont="1" applyFill="1" applyBorder="1"/>
    <xf numFmtId="164" fontId="9" fillId="4" borderId="43" xfId="0" applyNumberFormat="1" applyFont="1" applyFill="1" applyBorder="1"/>
    <xf numFmtId="164" fontId="9" fillId="4" borderId="44" xfId="0" applyNumberFormat="1" applyFont="1" applyFill="1" applyBorder="1"/>
    <xf numFmtId="164" fontId="9" fillId="0" borderId="39" xfId="0" applyNumberFormat="1" applyFont="1" applyBorder="1"/>
    <xf numFmtId="164" fontId="9" fillId="0" borderId="40" xfId="0" applyNumberFormat="1" applyFont="1" applyBorder="1"/>
    <xf numFmtId="165" fontId="8" fillId="0" borderId="16" xfId="0" applyNumberFormat="1" applyFont="1" applyBorder="1"/>
    <xf numFmtId="165" fontId="8" fillId="0" borderId="17" xfId="0" applyNumberFormat="1" applyFont="1" applyBorder="1"/>
    <xf numFmtId="165" fontId="8" fillId="0" borderId="13" xfId="0" applyNumberFormat="1" applyFont="1" applyBorder="1"/>
    <xf numFmtId="165" fontId="8" fillId="0" borderId="14" xfId="0" applyNumberFormat="1" applyFont="1" applyBorder="1"/>
    <xf numFmtId="165" fontId="8" fillId="0" borderId="40" xfId="0" applyNumberFormat="1" applyFont="1" applyBorder="1"/>
    <xf numFmtId="165" fontId="8" fillId="0" borderId="16" xfId="1" applyNumberFormat="1" applyFont="1" applyBorder="1"/>
    <xf numFmtId="165" fontId="8" fillId="0" borderId="17" xfId="1" applyNumberFormat="1" applyFont="1" applyBorder="1"/>
    <xf numFmtId="165" fontId="8" fillId="0" borderId="13" xfId="1" applyNumberFormat="1" applyFont="1" applyBorder="1"/>
    <xf numFmtId="165" fontId="8" fillId="0" borderId="14" xfId="1" applyNumberFormat="1" applyFont="1" applyBorder="1"/>
    <xf numFmtId="165" fontId="8" fillId="0" borderId="40" xfId="1" applyNumberFormat="1" applyFont="1" applyBorder="1"/>
    <xf numFmtId="165" fontId="8" fillId="0" borderId="18" xfId="1" applyNumberFormat="1" applyFont="1" applyBorder="1"/>
    <xf numFmtId="165" fontId="8" fillId="0" borderId="19" xfId="1" applyNumberFormat="1" applyFont="1" applyBorder="1"/>
    <xf numFmtId="165" fontId="8" fillId="0" borderId="20" xfId="1" applyNumberFormat="1" applyFont="1" applyBorder="1"/>
    <xf numFmtId="165" fontId="8" fillId="0" borderId="21" xfId="1" applyNumberFormat="1" applyFont="1" applyBorder="1"/>
    <xf numFmtId="165" fontId="8" fillId="0" borderId="45" xfId="1" applyNumberFormat="1" applyFont="1" applyBorder="1"/>
    <xf numFmtId="164" fontId="8" fillId="0" borderId="46" xfId="1" applyNumberFormat="1" applyFont="1" applyBorder="1"/>
    <xf numFmtId="164" fontId="8" fillId="0" borderId="47" xfId="1" applyNumberFormat="1" applyFont="1" applyBorder="1"/>
    <xf numFmtId="164" fontId="9" fillId="3" borderId="39" xfId="0" applyNumberFormat="1" applyFont="1" applyFill="1" applyBorder="1"/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49" xfId="0" applyFont="1" applyBorder="1"/>
    <xf numFmtId="0" fontId="7" fillId="0" borderId="49" xfId="0" applyFont="1" applyBorder="1" applyAlignment="1">
      <alignment horizontal="center"/>
    </xf>
    <xf numFmtId="164" fontId="8" fillId="3" borderId="50" xfId="0" applyNumberFormat="1" applyFont="1" applyFill="1" applyBorder="1"/>
    <xf numFmtId="164" fontId="8" fillId="3" borderId="51" xfId="0" applyNumberFormat="1" applyFont="1" applyFill="1" applyBorder="1"/>
    <xf numFmtId="164" fontId="8" fillId="3" borderId="52" xfId="0" applyNumberFormat="1" applyFont="1" applyFill="1" applyBorder="1"/>
    <xf numFmtId="164" fontId="8" fillId="3" borderId="53" xfId="0" applyNumberFormat="1" applyFont="1" applyFill="1" applyBorder="1"/>
    <xf numFmtId="164" fontId="8" fillId="3" borderId="54" xfId="0" applyNumberFormat="1" applyFont="1" applyFill="1" applyBorder="1"/>
    <xf numFmtId="165" fontId="8" fillId="3" borderId="4" xfId="1" applyNumberFormat="1" applyFont="1" applyFill="1" applyBorder="1" applyAlignment="1">
      <alignment horizontal="center"/>
    </xf>
    <xf numFmtId="165" fontId="8" fillId="3" borderId="5" xfId="1" applyNumberFormat="1" applyFont="1" applyFill="1" applyBorder="1" applyAlignment="1">
      <alignment horizontal="center"/>
    </xf>
    <xf numFmtId="165" fontId="8" fillId="3" borderId="6" xfId="1" applyNumberFormat="1" applyFont="1" applyFill="1" applyBorder="1" applyAlignment="1">
      <alignment horizontal="center"/>
    </xf>
    <xf numFmtId="165" fontId="8" fillId="3" borderId="7" xfId="1" applyNumberFormat="1" applyFont="1" applyFill="1" applyBorder="1" applyAlignment="1">
      <alignment horizontal="center"/>
    </xf>
    <xf numFmtId="165" fontId="8" fillId="3" borderId="39" xfId="1" applyNumberFormat="1" applyFont="1" applyFill="1" applyBorder="1" applyAlignment="1">
      <alignment horizontal="center"/>
    </xf>
    <xf numFmtId="165" fontId="8" fillId="3" borderId="16" xfId="1" applyNumberFormat="1" applyFont="1" applyFill="1" applyBorder="1" applyAlignment="1">
      <alignment horizontal="center"/>
    </xf>
    <xf numFmtId="165" fontId="8" fillId="3" borderId="17" xfId="1" applyNumberFormat="1" applyFont="1" applyFill="1" applyBorder="1" applyAlignment="1">
      <alignment horizontal="center"/>
    </xf>
    <xf numFmtId="165" fontId="8" fillId="3" borderId="13" xfId="1" applyNumberFormat="1" applyFont="1" applyFill="1" applyBorder="1" applyAlignment="1">
      <alignment horizontal="center"/>
    </xf>
    <xf numFmtId="165" fontId="8" fillId="3" borderId="14" xfId="1" applyNumberFormat="1" applyFont="1" applyFill="1" applyBorder="1" applyAlignment="1">
      <alignment horizontal="center"/>
    </xf>
    <xf numFmtId="165" fontId="8" fillId="3" borderId="40" xfId="1" applyNumberFormat="1" applyFont="1" applyFill="1" applyBorder="1" applyAlignment="1">
      <alignment horizontal="center"/>
    </xf>
    <xf numFmtId="165" fontId="8" fillId="3" borderId="42" xfId="1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55" xfId="0" applyFont="1" applyFill="1" applyBorder="1"/>
    <xf numFmtId="0" fontId="5" fillId="2" borderId="56" xfId="0" applyFont="1" applyFill="1" applyBorder="1" applyAlignment="1">
      <alignment horizont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APOR%20SET/C-PACES%20PL%202026%20(31.07.2026).xlsm" TargetMode="External"/><Relationship Id="rId2" Type="http://schemas.openxmlformats.org/officeDocument/2006/relationships/externalLinkPath" Target="file:///C:\Users\oguz.demir\Desktop\RAPOR%20SET\C-PACES%20PL%202026%20(31.07.2026).xlsm" TargetMode="External"/><Relationship Id="rId1" Type="http://schemas.openxmlformats.org/officeDocument/2006/relationships/externalLinkPath" Target="/Users/oguz.demir/Desktop/RAPOR%20SET/C-PACES%20PL%202026%20(31.07.2026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rgu1"/>
      <sheetName val="PIVOT EBITDA"/>
      <sheetName val="Expens Analiz Lokasyon"/>
      <sheetName val="Butce Icmal"/>
      <sheetName val="Revenue Icmal"/>
      <sheetName val="Bütçe Icmal Özet YTD"/>
      <sheetName val="Restoran Banket Ayrımı"/>
      <sheetName val="CPACES"/>
      <sheetName val="FERIYE"/>
      <sheetName val="L.KIRDAR"/>
      <sheetName val="I.MODERN"/>
      <sheetName val="DEKK AKMERKEZ"/>
      <sheetName val="Stats_Veri_Girisi"/>
      <sheetName val="PL Kontrol"/>
      <sheetName val="FILTRE"/>
      <sheetName val="ISTATISTIK"/>
      <sheetName val="Payro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5">
          <cell r="C95">
            <v>0.48091193579416119</v>
          </cell>
          <cell r="F95">
            <v>0.49956251532136559</v>
          </cell>
          <cell r="I95">
            <v>0.52267481910174785</v>
          </cell>
          <cell r="L95">
            <v>0.53511265850842515</v>
          </cell>
          <cell r="O95">
            <v>0.45499485449921395</v>
          </cell>
          <cell r="R95">
            <v>0.25412130268460026</v>
          </cell>
          <cell r="U95">
            <v>0.26688393766876817</v>
          </cell>
        </row>
        <row r="96">
          <cell r="C96">
            <v>0.14846753265166016</v>
          </cell>
          <cell r="F96">
            <v>0.17996448356791966</v>
          </cell>
          <cell r="I96">
            <v>0.10926199304469701</v>
          </cell>
          <cell r="L96">
            <v>9.2128463805276464E-2</v>
          </cell>
          <cell r="O96">
            <v>0.14475341870148836</v>
          </cell>
          <cell r="R96">
            <v>9.4164826772349886E-2</v>
          </cell>
          <cell r="U96">
            <v>4.7642793014498815E-2</v>
          </cell>
        </row>
        <row r="97">
          <cell r="C97">
            <v>0.37062053155417862</v>
          </cell>
          <cell r="F97">
            <v>0.32047300111071492</v>
          </cell>
          <cell r="I97">
            <v>0.36806318785355513</v>
          </cell>
          <cell r="L97">
            <v>0.3727588776862984</v>
          </cell>
          <cell r="O97">
            <v>0.40025172679929755</v>
          </cell>
          <cell r="R97">
            <v>0.65171387054304986</v>
          </cell>
          <cell r="U97">
            <v>0.68547326931673302</v>
          </cell>
        </row>
        <row r="200">
          <cell r="C200">
            <v>9692689.8800000101</v>
          </cell>
          <cell r="F200">
            <v>8793579.6400000192</v>
          </cell>
          <cell r="I200">
            <v>10505087.200000012</v>
          </cell>
          <cell r="L200">
            <v>12704259.800000027</v>
          </cell>
          <cell r="O200">
            <v>14817367.540000001</v>
          </cell>
          <cell r="R200">
            <v>13448946.399999965</v>
          </cell>
          <cell r="U200">
            <v>10742037.290000008</v>
          </cell>
        </row>
        <row r="201">
          <cell r="C201">
            <v>2475373.850000001</v>
          </cell>
          <cell r="F201">
            <v>1994415.78</v>
          </cell>
          <cell r="I201">
            <v>1796590.2799999996</v>
          </cell>
          <cell r="L201">
            <v>3373248.879999999</v>
          </cell>
          <cell r="O201">
            <v>3472801.3</v>
          </cell>
          <cell r="R201">
            <v>3938267.8399999924</v>
          </cell>
          <cell r="U201">
            <v>2854647.3499999978</v>
          </cell>
        </row>
        <row r="203">
          <cell r="C203">
            <v>1337512.4600000014</v>
          </cell>
          <cell r="F203">
            <v>588714.6399999999</v>
          </cell>
          <cell r="I203">
            <v>116700.67999999947</v>
          </cell>
          <cell r="L203">
            <v>472952.93999999762</v>
          </cell>
          <cell r="O203">
            <v>1042913.7199999979</v>
          </cell>
          <cell r="R203">
            <v>720922.75</v>
          </cell>
          <cell r="U203">
            <v>571555.30999999866</v>
          </cell>
        </row>
        <row r="209">
          <cell r="C209">
            <v>35.52496469711469</v>
          </cell>
          <cell r="F209">
            <v>36.552989246064321</v>
          </cell>
          <cell r="I209">
            <v>33.085316049140637</v>
          </cell>
          <cell r="L209">
            <v>33.032504409725085</v>
          </cell>
          <cell r="O209">
            <v>27.463489417572553</v>
          </cell>
          <cell r="R209">
            <v>15.991853577941894</v>
          </cell>
          <cell r="U209">
            <v>17.256715409662547</v>
          </cell>
        </row>
        <row r="210">
          <cell r="C210">
            <v>8.6564148442949023</v>
          </cell>
          <cell r="F210">
            <v>9.3268321610498965</v>
          </cell>
          <cell r="I210">
            <v>8.9377394066398885</v>
          </cell>
          <cell r="L210">
            <v>9.0808618148879745</v>
          </cell>
          <cell r="O210">
            <v>9.3728940026838075</v>
          </cell>
          <cell r="R210">
            <v>4.1599657249469066</v>
          </cell>
          <cell r="U210">
            <v>4.1286945157358437</v>
          </cell>
        </row>
        <row r="211">
          <cell r="C211">
            <v>4.7273643288566047</v>
          </cell>
          <cell r="F211">
            <v>4.9456689016815183</v>
          </cell>
          <cell r="I211">
            <v>8.1850876671333719</v>
          </cell>
          <cell r="L211">
            <v>9.5999210936411483</v>
          </cell>
          <cell r="O211">
            <v>10.73787856618145</v>
          </cell>
          <cell r="R211">
            <v>8.8434213334240876</v>
          </cell>
          <cell r="U211">
            <v>7.4727502547255087</v>
          </cell>
        </row>
        <row r="212">
          <cell r="C212">
            <v>0.44724810028856993</v>
          </cell>
          <cell r="F212">
            <v>1.2139369122309185</v>
          </cell>
          <cell r="I212">
            <v>2.5454263690255119</v>
          </cell>
          <cell r="L212">
            <v>3.4621789005495107</v>
          </cell>
          <cell r="O212">
            <v>7.2799176719874232</v>
          </cell>
          <cell r="R212">
            <v>3.9465038306918419</v>
          </cell>
          <cell r="U212">
            <v>3.7897519148965078</v>
          </cell>
        </row>
        <row r="216">
          <cell r="C216">
            <v>2542224.4380411482</v>
          </cell>
          <cell r="F216">
            <v>2620089.6292388872</v>
          </cell>
          <cell r="I216">
            <v>2658143.0050035859</v>
          </cell>
          <cell r="L216">
            <v>2738352.8444416062</v>
          </cell>
          <cell r="O216">
            <v>2556777.2234397475</v>
          </cell>
          <cell r="R216">
            <v>1541461.0441337121</v>
          </cell>
          <cell r="U216">
            <v>1632406.7981242482</v>
          </cell>
        </row>
        <row r="217">
          <cell r="C217">
            <v>-34763.440646785471</v>
          </cell>
          <cell r="F217">
            <v>245702.464604963</v>
          </cell>
          <cell r="I217">
            <v>193636.15275186111</v>
          </cell>
          <cell r="L217">
            <v>252724.95592481844</v>
          </cell>
          <cell r="O217">
            <v>415558.97398844984</v>
          </cell>
          <cell r="R217">
            <v>439419.94262153702</v>
          </cell>
          <cell r="U217">
            <v>250408.61878820954</v>
          </cell>
        </row>
        <row r="218">
          <cell r="C218">
            <v>29828.091523935775</v>
          </cell>
          <cell r="F218">
            <v>1995.0878305634781</v>
          </cell>
          <cell r="I218">
            <v>122283.6898683827</v>
          </cell>
          <cell r="L218">
            <v>46680.183380127557</v>
          </cell>
          <cell r="O218">
            <v>219470.06092914619</v>
          </cell>
          <cell r="R218">
            <v>6767.8636320403712</v>
          </cell>
          <cell r="U218">
            <v>34805.19516671398</v>
          </cell>
        </row>
        <row r="219">
          <cell r="C219">
            <v>49975.42578033507</v>
          </cell>
          <cell r="F219">
            <v>82409.720873720391</v>
          </cell>
          <cell r="I219">
            <v>0</v>
          </cell>
          <cell r="L219">
            <v>15371.549337659761</v>
          </cell>
          <cell r="O219">
            <v>0</v>
          </cell>
          <cell r="R219">
            <v>0</v>
          </cell>
          <cell r="U219">
            <v>0</v>
          </cell>
        </row>
        <row r="220">
          <cell r="C220">
            <v>846147.69506647706</v>
          </cell>
          <cell r="F220">
            <v>777917.91458902997</v>
          </cell>
          <cell r="I220">
            <v>825623.34317647538</v>
          </cell>
          <cell r="L220">
            <v>980874.24407834245</v>
          </cell>
          <cell r="O220">
            <v>818183.34517932776</v>
          </cell>
          <cell r="R220">
            <v>447592.01279462862</v>
          </cell>
          <cell r="U220">
            <v>583906.26114554459</v>
          </cell>
        </row>
        <row r="221">
          <cell r="C221">
            <v>484673.98002165626</v>
          </cell>
          <cell r="F221">
            <v>520402.96459803311</v>
          </cell>
          <cell r="I221">
            <v>914951.41764694394</v>
          </cell>
          <cell r="L221">
            <v>1028226.5184124239</v>
          </cell>
          <cell r="O221">
            <v>1245122.0658131381</v>
          </cell>
          <cell r="R221">
            <v>980798.42763009307</v>
          </cell>
          <cell r="U221">
            <v>855225.98867060593</v>
          </cell>
        </row>
        <row r="225">
          <cell r="C225">
            <v>1899943.3399999999</v>
          </cell>
          <cell r="F225">
            <v>2828953.9499999997</v>
          </cell>
          <cell r="I225">
            <v>3130736.12</v>
          </cell>
          <cell r="L225">
            <v>2571371.4900000002</v>
          </cell>
          <cell r="O225">
            <v>3056256.67</v>
          </cell>
          <cell r="R225">
            <v>3259159.92</v>
          </cell>
          <cell r="U225">
            <v>2571955.19</v>
          </cell>
        </row>
        <row r="226">
          <cell r="C226">
            <v>604231.78</v>
          </cell>
          <cell r="F226">
            <v>559061.29999999993</v>
          </cell>
          <cell r="I226">
            <v>474028.45</v>
          </cell>
          <cell r="L226">
            <v>792556.53</v>
          </cell>
          <cell r="O226">
            <v>968783.10000000009</v>
          </cell>
          <cell r="R226">
            <v>927176.67999999993</v>
          </cell>
          <cell r="U226">
            <v>813644.03999999992</v>
          </cell>
        </row>
        <row r="245">
          <cell r="C245">
            <v>214451.34748219891</v>
          </cell>
          <cell r="F245">
            <v>141161.49485373677</v>
          </cell>
          <cell r="I245">
            <v>148652.32500878887</v>
          </cell>
          <cell r="L245">
            <v>150775.0978308538</v>
          </cell>
          <cell r="O245">
            <v>102253.81461970625</v>
          </cell>
          <cell r="R245">
            <v>87869.052639496382</v>
          </cell>
          <cell r="U245">
            <v>125156.63705463847</v>
          </cell>
        </row>
        <row r="246">
          <cell r="C246">
            <v>99105.268913082633</v>
          </cell>
          <cell r="F246">
            <v>124556.60634572206</v>
          </cell>
          <cell r="I246">
            <v>126995.98381006918</v>
          </cell>
          <cell r="L246">
            <v>114001.57266535703</v>
          </cell>
          <cell r="O246">
            <v>150837.93768570508</v>
          </cell>
          <cell r="R246">
            <v>-7146.480592913189</v>
          </cell>
          <cell r="U246">
            <v>18829.699981049125</v>
          </cell>
        </row>
        <row r="247">
          <cell r="C247">
            <v>44973.201043694673</v>
          </cell>
          <cell r="F247">
            <v>38633.26247674039</v>
          </cell>
          <cell r="I247">
            <v>40851.589610475967</v>
          </cell>
          <cell r="L247">
            <v>41413.074990676258</v>
          </cell>
          <cell r="O247">
            <v>56993.210568294031</v>
          </cell>
          <cell r="R247">
            <v>44195.785889825209</v>
          </cell>
          <cell r="U247">
            <v>61315.098135866669</v>
          </cell>
        </row>
        <row r="272">
          <cell r="C272">
            <v>1027949.2627600195</v>
          </cell>
          <cell r="F272">
            <v>1067814.8764994189</v>
          </cell>
          <cell r="I272">
            <v>1117217.4258299861</v>
          </cell>
          <cell r="L272">
            <v>1143803.3075617587</v>
          </cell>
          <cell r="O272">
            <v>972551.5014920698</v>
          </cell>
          <cell r="R272">
            <v>543184.28448833304</v>
          </cell>
          <cell r="U272">
            <v>570464.41676699196</v>
          </cell>
        </row>
        <row r="280">
          <cell r="C280">
            <v>2483330.5266057644</v>
          </cell>
          <cell r="F280">
            <v>2243650.8685225453</v>
          </cell>
          <cell r="I280">
            <v>2673588.3577567455</v>
          </cell>
          <cell r="L280">
            <v>2523144.2161476552</v>
          </cell>
          <cell r="O280">
            <v>1985528.2021932981</v>
          </cell>
          <cell r="R280">
            <v>1383000.486503937</v>
          </cell>
          <cell r="U280">
            <v>1984839.0280903508</v>
          </cell>
        </row>
        <row r="287">
          <cell r="C287">
            <v>5677103.2511401474</v>
          </cell>
          <cell r="F287">
            <v>5547917.9142417321</v>
          </cell>
          <cell r="I287">
            <v>6179342.10135529</v>
          </cell>
          <cell r="L287">
            <v>6408217.3263454223</v>
          </cell>
          <cell r="O287">
            <v>5568564.8204658628</v>
          </cell>
          <cell r="R287">
            <v>3920992.2539286185</v>
          </cell>
          <cell r="U287">
            <v>4482761.5728802513</v>
          </cell>
        </row>
        <row r="289">
          <cell r="C289">
            <v>12099364.560926914</v>
          </cell>
          <cell r="F289">
            <v>13184450.945976928</v>
          </cell>
          <cell r="I289">
            <v>14498744.279802538</v>
          </cell>
          <cell r="L289">
            <v>14834375.641920399</v>
          </cell>
          <cell r="O289">
            <v>14848716.259815672</v>
          </cell>
          <cell r="R289">
            <v>11523368.14474063</v>
          </cell>
          <cell r="U289">
            <v>11225113.664775573</v>
          </cell>
        </row>
        <row r="297">
          <cell r="C297">
            <v>5396511.3299999991</v>
          </cell>
          <cell r="F297">
            <v>4334163.6800000006</v>
          </cell>
          <cell r="I297">
            <v>6360708.7000000002</v>
          </cell>
          <cell r="L297">
            <v>6993734.1600000001</v>
          </cell>
          <cell r="O297">
            <v>12387090.760000002</v>
          </cell>
          <cell r="R297">
            <v>28837454.559999995</v>
          </cell>
          <cell r="U297">
            <v>22483794.130000003</v>
          </cell>
        </row>
        <row r="298">
          <cell r="C298">
            <v>1368118.2599999998</v>
          </cell>
          <cell r="F298">
            <v>1891193.1099999999</v>
          </cell>
          <cell r="I298">
            <v>1706857.1400000001</v>
          </cell>
          <cell r="L298">
            <v>2899572.0599999996</v>
          </cell>
          <cell r="O298">
            <v>6579819.8500000006</v>
          </cell>
          <cell r="R298">
            <v>15694114.210000001</v>
          </cell>
          <cell r="U298">
            <v>9240391.4699999988</v>
          </cell>
        </row>
        <row r="300">
          <cell r="C300">
            <v>3643604.13</v>
          </cell>
          <cell r="F300">
            <v>1072885.7799999998</v>
          </cell>
          <cell r="I300">
            <v>677351.05000000028</v>
          </cell>
          <cell r="L300">
            <v>1635726.7800000003</v>
          </cell>
          <cell r="O300">
            <v>-1959905.7999999998</v>
          </cell>
          <cell r="R300">
            <v>1908158.7200000137</v>
          </cell>
          <cell r="U300">
            <v>4665976.5200000033</v>
          </cell>
        </row>
        <row r="302">
          <cell r="C302">
            <v>2393</v>
          </cell>
          <cell r="F302">
            <v>2944</v>
          </cell>
          <cell r="I302">
            <v>2371</v>
          </cell>
          <cell r="L302">
            <v>2554</v>
          </cell>
          <cell r="O302">
            <v>2653</v>
          </cell>
          <cell r="R302">
            <v>5775</v>
          </cell>
          <cell r="U302">
            <v>5711</v>
          </cell>
        </row>
        <row r="306">
          <cell r="C306">
            <v>27.377738665907177</v>
          </cell>
          <cell r="F306">
            <v>23.44900949127101</v>
          </cell>
          <cell r="I306">
            <v>23.298399791130038</v>
          </cell>
          <cell r="L306">
            <v>23.010405519575201</v>
          </cell>
          <cell r="O306">
            <v>24.1591942296056</v>
          </cell>
          <cell r="R306">
            <v>41.01235387327413</v>
          </cell>
          <cell r="U306">
            <v>44.322701594019954</v>
          </cell>
        </row>
        <row r="307">
          <cell r="C307">
            <v>6.6711695679752152</v>
          </cell>
          <cell r="F307">
            <v>5.9832309307370481</v>
          </cell>
          <cell r="I307">
            <v>6.293880512295793</v>
          </cell>
          <cell r="L307">
            <v>6.3257181543364833</v>
          </cell>
          <cell r="O307">
            <v>8.2451855720655303</v>
          </cell>
          <cell r="R307">
            <v>10.668556060789728</v>
          </cell>
          <cell r="U307">
            <v>10.60427147632986</v>
          </cell>
        </row>
        <row r="308">
          <cell r="C308">
            <v>3.6431998251775757</v>
          </cell>
          <cell r="F308">
            <v>3.1726827109960771</v>
          </cell>
          <cell r="I308">
            <v>5.7638695217866731</v>
          </cell>
          <cell r="L308">
            <v>6.6872942656921941</v>
          </cell>
          <cell r="O308">
            <v>9.4459407524634234</v>
          </cell>
          <cell r="R308">
            <v>22.679642694898135</v>
          </cell>
          <cell r="U308">
            <v>19.193251540868523</v>
          </cell>
        </row>
        <row r="309">
          <cell r="C309">
            <v>0.34467709434538613</v>
          </cell>
          <cell r="F309">
            <v>0.77874939269903731</v>
          </cell>
          <cell r="I309">
            <v>1.7924677248468135</v>
          </cell>
          <cell r="L309">
            <v>2.4117499386303507</v>
          </cell>
          <cell r="O309">
            <v>6.4040276287887608</v>
          </cell>
          <cell r="R309">
            <v>10.121116409533563</v>
          </cell>
          <cell r="U309">
            <v>9.7337204242976085</v>
          </cell>
        </row>
        <row r="313">
          <cell r="C313">
            <v>1959195.6498249855</v>
          </cell>
          <cell r="F313">
            <v>1680806.6276171524</v>
          </cell>
          <cell r="I313">
            <v>1871841.826766467</v>
          </cell>
          <cell r="L313">
            <v>1907533.5198542399</v>
          </cell>
          <cell r="O313">
            <v>2249156.2016656613</v>
          </cell>
          <cell r="R313">
            <v>3953196.8896387639</v>
          </cell>
          <cell r="U313">
            <v>4192726.0011947695</v>
          </cell>
        </row>
        <row r="314">
          <cell r="C314">
            <v>-26790.861054191781</v>
          </cell>
          <cell r="F314">
            <v>157619.92502899878</v>
          </cell>
          <cell r="I314">
            <v>136356.94137328229</v>
          </cell>
          <cell r="L314">
            <v>176047.92081810063</v>
          </cell>
          <cell r="O314">
            <v>365560.61080930044</v>
          </cell>
          <cell r="R314">
            <v>1126926.6628745373</v>
          </cell>
          <cell r="U314">
            <v>643157.53164162219</v>
          </cell>
        </row>
        <row r="315">
          <cell r="C315">
            <v>22987.37526152701</v>
          </cell>
          <cell r="F315">
            <v>1279.8634103458289</v>
          </cell>
          <cell r="I315">
            <v>86111.140369842062</v>
          </cell>
          <cell r="L315">
            <v>32517.363381888648</v>
          </cell>
          <cell r="O315">
            <v>193064.31709941363</v>
          </cell>
          <cell r="R315">
            <v>17356.713334729266</v>
          </cell>
          <cell r="U315">
            <v>89394.780100047763</v>
          </cell>
        </row>
        <row r="316">
          <cell r="C316">
            <v>38514.159222868395</v>
          </cell>
          <cell r="F316">
            <v>52866.43765116774</v>
          </cell>
          <cell r="I316">
            <v>0</v>
          </cell>
          <cell r="L316">
            <v>10707.804026496227</v>
          </cell>
          <cell r="O316">
            <v>0</v>
          </cell>
          <cell r="R316">
            <v>0</v>
          </cell>
          <cell r="U316">
            <v>0</v>
          </cell>
        </row>
        <row r="317">
          <cell r="C317">
            <v>652093.83501994633</v>
          </cell>
          <cell r="F317">
            <v>499040.02213969344</v>
          </cell>
          <cell r="I317">
            <v>581396.9767628836</v>
          </cell>
          <cell r="L317">
            <v>683275.89818786271</v>
          </cell>
          <cell r="O317">
            <v>719742.85754701297</v>
          </cell>
          <cell r="R317">
            <v>1147884.5732369954</v>
          </cell>
          <cell r="U317">
            <v>1499723.577590131</v>
          </cell>
        </row>
        <row r="318">
          <cell r="C318">
            <v>373519.79590498342</v>
          </cell>
          <cell r="F318">
            <v>333842.30148725107</v>
          </cell>
          <cell r="I318">
            <v>644301.05144343572</v>
          </cell>
          <cell r="L318">
            <v>716261.43937439774</v>
          </cell>
          <cell r="O318">
            <v>1095314.0502349969</v>
          </cell>
          <cell r="R318">
            <v>2515333.9477669881</v>
          </cell>
          <cell r="U318">
            <v>2196589.8719099984</v>
          </cell>
        </row>
        <row r="322">
          <cell r="C322">
            <v>976724.93</v>
          </cell>
          <cell r="F322">
            <v>952872.27</v>
          </cell>
          <cell r="I322">
            <v>989124.08000000007</v>
          </cell>
          <cell r="L322">
            <v>2109038.34</v>
          </cell>
          <cell r="O322">
            <v>2012766.3399999999</v>
          </cell>
          <cell r="R322">
            <v>3867819.04</v>
          </cell>
          <cell r="U322">
            <v>4856033.04</v>
          </cell>
        </row>
        <row r="323">
          <cell r="C323">
            <v>388320.37000000005</v>
          </cell>
          <cell r="F323">
            <v>148916.25000000003</v>
          </cell>
          <cell r="I323">
            <v>308434.43</v>
          </cell>
          <cell r="L323">
            <v>462113.02999999997</v>
          </cell>
          <cell r="O323">
            <v>621222.63</v>
          </cell>
          <cell r="R323">
            <v>2011619.23</v>
          </cell>
          <cell r="U323">
            <v>1414116.5499999998</v>
          </cell>
        </row>
        <row r="342">
          <cell r="C342">
            <v>165269.49422686256</v>
          </cell>
          <cell r="F342">
            <v>90556.129632644966</v>
          </cell>
          <cell r="I342">
            <v>104679.71026154725</v>
          </cell>
          <cell r="L342">
            <v>105029.76402601026</v>
          </cell>
          <cell r="O342">
            <v>89951.052124312293</v>
          </cell>
          <cell r="R342">
            <v>225347.02833517099</v>
          </cell>
          <cell r="U342">
            <v>321456.32265440933</v>
          </cell>
        </row>
        <row r="343">
          <cell r="C343">
            <v>76376.660071310398</v>
          </cell>
          <cell r="F343">
            <v>79903.972414946067</v>
          </cell>
          <cell r="I343">
            <v>89429.497916243185</v>
          </cell>
          <cell r="L343">
            <v>79413.367644231141</v>
          </cell>
          <cell r="O343">
            <v>132689.73138607788</v>
          </cell>
          <cell r="R343">
            <v>-18327.706015850228</v>
          </cell>
          <cell r="U343">
            <v>48362.805641313156</v>
          </cell>
        </row>
        <row r="344">
          <cell r="C344">
            <v>34659.134939086347</v>
          </cell>
          <cell r="F344">
            <v>24783.519957766235</v>
          </cell>
          <cell r="I344">
            <v>28767.343961121536</v>
          </cell>
          <cell r="L344">
            <v>28848.30158586118</v>
          </cell>
          <cell r="O344">
            <v>50136.019605986708</v>
          </cell>
          <cell r="R344">
            <v>113343.53468075211</v>
          </cell>
          <cell r="U344">
            <v>157483.66553940932</v>
          </cell>
        </row>
        <row r="369">
          <cell r="C369">
            <v>1109550.7372399804</v>
          </cell>
          <cell r="F369">
            <v>1069685.1235005814</v>
          </cell>
          <cell r="I369">
            <v>1020282.574170014</v>
          </cell>
          <cell r="L369">
            <v>993696.69243824121</v>
          </cell>
          <cell r="O369">
            <v>1164948.49850793</v>
          </cell>
          <cell r="R369">
            <v>1594315.7155116668</v>
          </cell>
          <cell r="U369">
            <v>1567035.5832330079</v>
          </cell>
        </row>
        <row r="377">
          <cell r="C377">
            <v>1883130.7690830377</v>
          </cell>
          <cell r="F377">
            <v>1414345.874555608</v>
          </cell>
          <cell r="I377">
            <v>1818080.60317738</v>
          </cell>
          <cell r="L377">
            <v>1654775.8759358947</v>
          </cell>
          <cell r="O377">
            <v>1724363.8784558163</v>
          </cell>
          <cell r="R377">
            <v>3461283.7541616205</v>
          </cell>
          <cell r="U377">
            <v>4991621.4109344203</v>
          </cell>
        </row>
        <row r="384">
          <cell r="C384">
            <v>4661799.2447500704</v>
          </cell>
          <cell r="F384">
            <v>3918731.3939603218</v>
          </cell>
          <cell r="I384">
            <v>4520350.2547672261</v>
          </cell>
          <cell r="L384">
            <v>4558038.0380346728</v>
          </cell>
          <cell r="O384">
            <v>5185714.5569955744</v>
          </cell>
          <cell r="R384">
            <v>10171438.606175043</v>
          </cell>
          <cell r="U384">
            <v>11509202.298721317</v>
          </cell>
        </row>
        <row r="386">
          <cell r="C386">
            <v>9046364.4989301898</v>
          </cell>
          <cell r="F386">
            <v>7745975.0912949312</v>
          </cell>
          <cell r="I386">
            <v>9137916.7014831379</v>
          </cell>
          <cell r="L386">
            <v>10655533.353677657</v>
          </cell>
          <cell r="O386">
            <v>12442541.564351961</v>
          </cell>
          <cell r="R386">
            <v>24811575.663027056</v>
          </cell>
          <cell r="U386">
            <v>26400943.651157886</v>
          </cell>
        </row>
        <row r="395">
          <cell r="C395">
            <v>270787.7</v>
          </cell>
          <cell r="F395">
            <v>273696.35999999993</v>
          </cell>
          <cell r="I395">
            <v>370082.72</v>
          </cell>
          <cell r="L395">
            <v>336355.95999999915</v>
          </cell>
          <cell r="O395">
            <v>191029.67000000089</v>
          </cell>
          <cell r="R395">
            <v>289613.50999999867</v>
          </cell>
          <cell r="U395">
            <v>252601.72000000032</v>
          </cell>
        </row>
        <row r="396">
          <cell r="C396">
            <v>88242.73</v>
          </cell>
          <cell r="F396">
            <v>48492.30000000001</v>
          </cell>
          <cell r="I396">
            <v>35977.639999999992</v>
          </cell>
          <cell r="L396">
            <v>161259.67000000013</v>
          </cell>
          <cell r="O396">
            <v>149778.54999999973</v>
          </cell>
          <cell r="R396">
            <v>247122.99999999869</v>
          </cell>
          <cell r="U396">
            <v>220897.56999999887</v>
          </cell>
        </row>
        <row r="398">
          <cell r="C398">
            <v>-1.4551915228366852E-11</v>
          </cell>
          <cell r="F398">
            <v>-2.1827872842550278E-11</v>
          </cell>
          <cell r="I398">
            <v>2.1827872842550278E-11</v>
          </cell>
          <cell r="L398">
            <v>2.9103830456733704E-11</v>
          </cell>
          <cell r="O398">
            <v>5100.8800000000047</v>
          </cell>
          <cell r="R398">
            <v>-2.9103830456733704E-11</v>
          </cell>
          <cell r="U398">
            <v>2.9103830456733704E-11</v>
          </cell>
        </row>
        <row r="400">
          <cell r="C400">
            <v>1385</v>
          </cell>
          <cell r="F400">
            <v>1283</v>
          </cell>
          <cell r="I400">
            <v>1404</v>
          </cell>
          <cell r="L400">
            <v>1330</v>
          </cell>
          <cell r="O400">
            <v>1197</v>
          </cell>
          <cell r="R400">
            <v>1830</v>
          </cell>
          <cell r="U400">
            <v>1636</v>
          </cell>
        </row>
        <row r="404">
          <cell r="C404">
            <v>1.67</v>
          </cell>
          <cell r="F404">
            <v>2</v>
          </cell>
          <cell r="I404">
            <v>4</v>
          </cell>
          <cell r="L404">
            <v>4</v>
          </cell>
          <cell r="O404">
            <v>4.4000000000000004</v>
          </cell>
          <cell r="R404">
            <v>4.7</v>
          </cell>
          <cell r="U404">
            <v>5</v>
          </cell>
        </row>
        <row r="405">
          <cell r="C405">
            <v>0</v>
          </cell>
          <cell r="F405">
            <v>0</v>
          </cell>
          <cell r="I405">
            <v>0</v>
          </cell>
          <cell r="L405">
            <v>0</v>
          </cell>
          <cell r="O405">
            <v>0</v>
          </cell>
          <cell r="R405">
            <v>0</v>
          </cell>
          <cell r="U405">
            <v>0</v>
          </cell>
        </row>
        <row r="406">
          <cell r="C406">
            <v>0</v>
          </cell>
          <cell r="F406">
            <v>0</v>
          </cell>
          <cell r="I406">
            <v>0</v>
          </cell>
          <cell r="L406">
            <v>0</v>
          </cell>
          <cell r="O406">
            <v>0</v>
          </cell>
          <cell r="R406">
            <v>0</v>
          </cell>
          <cell r="U406">
            <v>0</v>
          </cell>
        </row>
        <row r="407">
          <cell r="C407">
            <v>0</v>
          </cell>
          <cell r="F407">
            <v>0</v>
          </cell>
          <cell r="I407">
            <v>0</v>
          </cell>
          <cell r="L407">
            <v>0</v>
          </cell>
          <cell r="O407">
            <v>0</v>
          </cell>
          <cell r="R407">
            <v>0</v>
          </cell>
          <cell r="U407">
            <v>0</v>
          </cell>
        </row>
        <row r="411">
          <cell r="C411">
            <v>246774.44</v>
          </cell>
          <cell r="F411">
            <v>297494.98000000004</v>
          </cell>
          <cell r="I411">
            <v>287659.30508999561</v>
          </cell>
          <cell r="L411">
            <v>295490.82196303463</v>
          </cell>
          <cell r="O411">
            <v>305953.68858913268</v>
          </cell>
          <cell r="R411">
            <v>315002.81370809587</v>
          </cell>
          <cell r="U411">
            <v>375224.43901459401</v>
          </cell>
        </row>
        <row r="412">
          <cell r="C412">
            <v>5553.68</v>
          </cell>
          <cell r="F412">
            <v>5612.55</v>
          </cell>
          <cell r="I412">
            <v>6526.7507458666678</v>
          </cell>
          <cell r="L412">
            <v>5426.6249115251758</v>
          </cell>
          <cell r="O412">
            <v>5888.4436376429685</v>
          </cell>
          <cell r="R412">
            <v>7811.5457149064878</v>
          </cell>
          <cell r="U412">
            <v>7753.0495691277738</v>
          </cell>
        </row>
        <row r="413">
          <cell r="C413">
            <v>17350.54</v>
          </cell>
          <cell r="F413">
            <v>0</v>
          </cell>
          <cell r="I413">
            <v>0</v>
          </cell>
          <cell r="L413">
            <v>0</v>
          </cell>
          <cell r="O413">
            <v>2367.6054833773169</v>
          </cell>
          <cell r="R413">
            <v>0</v>
          </cell>
          <cell r="U413">
            <v>10399.311227243837</v>
          </cell>
        </row>
        <row r="414">
          <cell r="C414">
            <v>0</v>
          </cell>
          <cell r="F414">
            <v>0</v>
          </cell>
          <cell r="I414">
            <v>0</v>
          </cell>
          <cell r="L414">
            <v>0</v>
          </cell>
          <cell r="O414">
            <v>0</v>
          </cell>
          <cell r="R414">
            <v>0</v>
          </cell>
          <cell r="U414">
            <v>0</v>
          </cell>
        </row>
        <row r="415">
          <cell r="C415">
            <v>0</v>
          </cell>
          <cell r="F415">
            <v>0</v>
          </cell>
          <cell r="I415">
            <v>0</v>
          </cell>
          <cell r="L415">
            <v>0</v>
          </cell>
          <cell r="O415">
            <v>0</v>
          </cell>
          <cell r="R415">
            <v>0</v>
          </cell>
          <cell r="U415">
            <v>0</v>
          </cell>
        </row>
        <row r="416">
          <cell r="C416">
            <v>0</v>
          </cell>
          <cell r="F416">
            <v>0</v>
          </cell>
          <cell r="I416">
            <v>0</v>
          </cell>
          <cell r="L416">
            <v>0</v>
          </cell>
          <cell r="O416">
            <v>0</v>
          </cell>
          <cell r="R416">
            <v>0</v>
          </cell>
          <cell r="U416">
            <v>0</v>
          </cell>
        </row>
        <row r="420">
          <cell r="C420">
            <v>199794.81999999998</v>
          </cell>
          <cell r="F420">
            <v>241106.35</v>
          </cell>
          <cell r="I420">
            <v>150146.43</v>
          </cell>
          <cell r="L420">
            <v>174766.77</v>
          </cell>
          <cell r="O420">
            <v>158550.9</v>
          </cell>
          <cell r="R420">
            <v>128688.24</v>
          </cell>
          <cell r="U420">
            <v>142036.06999999998</v>
          </cell>
        </row>
        <row r="421">
          <cell r="C421">
            <v>35680.58</v>
          </cell>
          <cell r="F421">
            <v>8038.1</v>
          </cell>
          <cell r="I421">
            <v>21640.11</v>
          </cell>
          <cell r="L421">
            <v>42071.23</v>
          </cell>
          <cell r="O421">
            <v>22371.89</v>
          </cell>
          <cell r="R421">
            <v>17113.39</v>
          </cell>
          <cell r="U421">
            <v>60966.71</v>
          </cell>
        </row>
        <row r="440">
          <cell r="C440">
            <v>21825.279999999999</v>
          </cell>
          <cell r="F440">
            <v>20864</v>
          </cell>
          <cell r="I440">
            <v>24624.639999999999</v>
          </cell>
          <cell r="L440">
            <v>20403.2</v>
          </cell>
          <cell r="O440">
            <v>18089.14</v>
          </cell>
          <cell r="R440">
            <v>24148.66</v>
          </cell>
          <cell r="U440">
            <v>41208.06</v>
          </cell>
        </row>
        <row r="441">
          <cell r="C441">
            <v>4179.17</v>
          </cell>
          <cell r="F441">
            <v>3800.75</v>
          </cell>
          <cell r="I441">
            <v>3289.24</v>
          </cell>
          <cell r="L441">
            <v>3142.44</v>
          </cell>
          <cell r="O441">
            <v>2169.9899999999998</v>
          </cell>
          <cell r="R441">
            <v>439.85</v>
          </cell>
          <cell r="U441">
            <v>0</v>
          </cell>
        </row>
        <row r="442">
          <cell r="C442">
            <v>8955.7900000000009</v>
          </cell>
          <cell r="F442">
            <v>6269.05</v>
          </cell>
          <cell r="I442">
            <v>7459.84</v>
          </cell>
          <cell r="L442">
            <v>9047.35</v>
          </cell>
          <cell r="O442">
            <v>9672</v>
          </cell>
          <cell r="R442">
            <v>14270.25</v>
          </cell>
          <cell r="U442">
            <v>8500</v>
          </cell>
        </row>
        <row r="467">
          <cell r="C467">
            <v>0</v>
          </cell>
          <cell r="F467">
            <v>0</v>
          </cell>
          <cell r="I467">
            <v>0</v>
          </cell>
          <cell r="L467">
            <v>0</v>
          </cell>
          <cell r="O467">
            <v>0</v>
          </cell>
          <cell r="R467">
            <v>0</v>
          </cell>
          <cell r="U467">
            <v>0</v>
          </cell>
        </row>
        <row r="475">
          <cell r="C475">
            <v>64958.307812683684</v>
          </cell>
          <cell r="F475">
            <v>62437.79892610493</v>
          </cell>
          <cell r="I475">
            <v>84420.523776438538</v>
          </cell>
          <cell r="L475">
            <v>71423.365690135586</v>
          </cell>
          <cell r="O475">
            <v>35072.204890448418</v>
          </cell>
          <cell r="R475">
            <v>40004.484581190562</v>
          </cell>
          <cell r="U475">
            <v>64949.674756388304</v>
          </cell>
        </row>
        <row r="482">
          <cell r="C482">
            <v>138863.38781268371</v>
          </cell>
          <cell r="F482">
            <v>172239.78892610496</v>
          </cell>
          <cell r="I482">
            <v>198747.25377643853</v>
          </cell>
          <cell r="L482">
            <v>173624.17569013557</v>
          </cell>
          <cell r="O482">
            <v>107285.72489044841</v>
          </cell>
          <cell r="R482">
            <v>124627.28458119056</v>
          </cell>
          <cell r="U482">
            <v>150497.22475638828</v>
          </cell>
        </row>
        <row r="484">
          <cell r="C484">
            <v>644017.44781268365</v>
          </cell>
          <cell r="F484">
            <v>724491.768926105</v>
          </cell>
          <cell r="I484">
            <v>664719.84961230075</v>
          </cell>
          <cell r="L484">
            <v>691379.62256469531</v>
          </cell>
          <cell r="O484">
            <v>602418.25260060129</v>
          </cell>
          <cell r="R484">
            <v>593243.27400419291</v>
          </cell>
          <cell r="U484">
            <v>746876.8045673538</v>
          </cell>
        </row>
        <row r="492">
          <cell r="C492">
            <v>2136629.6599999992</v>
          </cell>
          <cell r="F492">
            <v>3024882.29</v>
          </cell>
          <cell r="I492">
            <v>1445225.33</v>
          </cell>
          <cell r="L492">
            <v>1429887.5299999998</v>
          </cell>
          <cell r="O492">
            <v>3931636.290000001</v>
          </cell>
          <cell r="R492">
            <v>4224448.4700000016</v>
          </cell>
          <cell r="U492">
            <v>303196.3</v>
          </cell>
        </row>
        <row r="493">
          <cell r="C493">
            <v>1084299.92</v>
          </cell>
          <cell r="F493">
            <v>911892.30999999994</v>
          </cell>
          <cell r="I493">
            <v>801408.15</v>
          </cell>
          <cell r="L493">
            <v>887919.85999999987</v>
          </cell>
          <cell r="O493">
            <v>1716550.72</v>
          </cell>
          <cell r="R493">
            <v>1269756.0999999996</v>
          </cell>
          <cell r="U493">
            <v>117395.65</v>
          </cell>
        </row>
        <row r="494">
          <cell r="C494">
            <v>5746.89</v>
          </cell>
          <cell r="F494">
            <v>0</v>
          </cell>
          <cell r="I494">
            <v>0</v>
          </cell>
          <cell r="L494">
            <v>2583.33</v>
          </cell>
          <cell r="O494">
            <v>0</v>
          </cell>
          <cell r="R494">
            <v>0</v>
          </cell>
          <cell r="U494">
            <v>0</v>
          </cell>
        </row>
        <row r="495">
          <cell r="C495">
            <v>942776.23999999987</v>
          </cell>
          <cell r="F495">
            <v>161618.87000000023</v>
          </cell>
          <cell r="I495">
            <v>349352.96999999962</v>
          </cell>
          <cell r="L495">
            <v>529044.02999999991</v>
          </cell>
          <cell r="O495">
            <v>502497.47999999928</v>
          </cell>
          <cell r="R495">
            <v>1215778.2800000003</v>
          </cell>
          <cell r="U495">
            <v>2108651.77</v>
          </cell>
        </row>
        <row r="497">
          <cell r="C497">
            <v>766</v>
          </cell>
          <cell r="F497">
            <v>176</v>
          </cell>
          <cell r="I497">
            <v>0</v>
          </cell>
          <cell r="L497">
            <v>341</v>
          </cell>
          <cell r="O497">
            <v>2132</v>
          </cell>
          <cell r="R497">
            <v>1661</v>
          </cell>
          <cell r="U497">
            <v>1418</v>
          </cell>
        </row>
        <row r="501">
          <cell r="C501">
            <v>10.967296636978137</v>
          </cell>
          <cell r="F501">
            <v>13.168001262664681</v>
          </cell>
          <cell r="I501">
            <v>6.9162841597293205</v>
          </cell>
          <cell r="L501">
            <v>5.6870900706997167</v>
          </cell>
          <cell r="O501">
            <v>8.7373163528218374</v>
          </cell>
          <cell r="R501">
            <v>5.9257925487839787</v>
          </cell>
          <cell r="U501">
            <v>3.0805829963174931</v>
          </cell>
        </row>
        <row r="502">
          <cell r="C502">
            <v>2.672415587729883</v>
          </cell>
          <cell r="F502">
            <v>3.3599369082130606</v>
          </cell>
          <cell r="I502">
            <v>1.868380081064319</v>
          </cell>
          <cell r="L502">
            <v>1.5634200307755415</v>
          </cell>
          <cell r="O502">
            <v>2.9819204252506606</v>
          </cell>
          <cell r="R502">
            <v>1.5414782142633676</v>
          </cell>
          <cell r="U502">
            <v>0.73703400793429674</v>
          </cell>
        </row>
        <row r="503">
          <cell r="C503">
            <v>1.4594358459658194</v>
          </cell>
          <cell r="F503">
            <v>1.7816483873224045</v>
          </cell>
          <cell r="I503">
            <v>1.7110428110799552</v>
          </cell>
          <cell r="L503">
            <v>1.65278464066666</v>
          </cell>
          <cell r="O503">
            <v>3.4161806813551254</v>
          </cell>
          <cell r="R503">
            <v>3.2769359716777759</v>
          </cell>
          <cell r="U503">
            <v>1.3339982044059668</v>
          </cell>
        </row>
        <row r="504">
          <cell r="C504">
            <v>0.13807480536604394</v>
          </cell>
          <cell r="F504">
            <v>0.43731369507004481</v>
          </cell>
          <cell r="I504">
            <v>0.5321059061276745</v>
          </cell>
          <cell r="L504">
            <v>0.59607116082013867</v>
          </cell>
          <cell r="O504">
            <v>2.3160546992238138</v>
          </cell>
          <cell r="R504">
            <v>1.4623797597745936</v>
          </cell>
          <cell r="U504">
            <v>0.67652766080588311</v>
          </cell>
        </row>
        <row r="508">
          <cell r="C508">
            <v>784837.64213386585</v>
          </cell>
          <cell r="F508">
            <v>943872.01314396155</v>
          </cell>
          <cell r="I508">
            <v>555668.63355621824</v>
          </cell>
          <cell r="L508">
            <v>471452.57527344092</v>
          </cell>
          <cell r="O508">
            <v>813420.72397357621</v>
          </cell>
          <cell r="R508">
            <v>571189.4700041326</v>
          </cell>
          <cell r="U508">
            <v>291409.14165849233</v>
          </cell>
        </row>
        <row r="509">
          <cell r="C509">
            <v>-10732.198299024491</v>
          </cell>
          <cell r="F509">
            <v>88512.880366038342</v>
          </cell>
          <cell r="I509">
            <v>40478.460415475158</v>
          </cell>
          <cell r="L509">
            <v>43510.76653561007</v>
          </cell>
          <cell r="O509">
            <v>132207.17017364624</v>
          </cell>
          <cell r="R509">
            <v>162827.36763957437</v>
          </cell>
          <cell r="U509">
            <v>44701.701039722488</v>
          </cell>
        </row>
        <row r="510">
          <cell r="C510">
            <v>9208.5532145372235</v>
          </cell>
          <cell r="F510">
            <v>718.71875909069377</v>
          </cell>
          <cell r="I510">
            <v>25562.661876156257</v>
          </cell>
          <cell r="L510">
            <v>8036.7629443623764</v>
          </cell>
          <cell r="O510">
            <v>69822.859111416052</v>
          </cell>
          <cell r="R510">
            <v>2507.8366110886</v>
          </cell>
          <cell r="U510">
            <v>6213.2503126322081</v>
          </cell>
        </row>
        <row r="511">
          <cell r="C511">
            <v>15428.454996796525</v>
          </cell>
          <cell r="F511">
            <v>29687.621475111919</v>
          </cell>
          <cell r="I511">
            <v>0</v>
          </cell>
          <cell r="L511">
            <v>2646.4655699474761</v>
          </cell>
          <cell r="O511">
            <v>0</v>
          </cell>
          <cell r="R511">
            <v>0</v>
          </cell>
          <cell r="U511">
            <v>0</v>
          </cell>
        </row>
        <row r="512">
          <cell r="C512">
            <v>261223.4199135766</v>
          </cell>
          <cell r="F512">
            <v>280240.39327127696</v>
          </cell>
          <cell r="I512">
            <v>172591.54006064089</v>
          </cell>
          <cell r="L512">
            <v>168873.66773379498</v>
          </cell>
          <cell r="O512">
            <v>260299.28727365908</v>
          </cell>
          <cell r="R512">
            <v>165855.53396837576</v>
          </cell>
          <cell r="U512">
            <v>104236.0412643243</v>
          </cell>
        </row>
        <row r="513">
          <cell r="C513">
            <v>149628.95407336028</v>
          </cell>
          <cell r="F513">
            <v>187472.13391471599</v>
          </cell>
          <cell r="I513">
            <v>191265.0309096204</v>
          </cell>
          <cell r="L513">
            <v>177026.14221317839</v>
          </cell>
          <cell r="O513">
            <v>396126.84395186434</v>
          </cell>
          <cell r="R513">
            <v>363435.54460291873</v>
          </cell>
          <cell r="U513">
            <v>152670.68941939541</v>
          </cell>
        </row>
        <row r="517">
          <cell r="C517">
            <v>373169.03</v>
          </cell>
          <cell r="F517">
            <v>583396.6</v>
          </cell>
          <cell r="I517">
            <v>235000</v>
          </cell>
          <cell r="L517">
            <v>295262.34999999998</v>
          </cell>
          <cell r="O517">
            <v>520005.04</v>
          </cell>
          <cell r="R517">
            <v>1060340.6399999999</v>
          </cell>
          <cell r="U517">
            <v>57322.15</v>
          </cell>
        </row>
        <row r="518">
          <cell r="C518">
            <v>201821.71999999997</v>
          </cell>
          <cell r="F518">
            <v>130361</v>
          </cell>
          <cell r="I518">
            <v>136500</v>
          </cell>
          <cell r="L518">
            <v>136052.59</v>
          </cell>
          <cell r="O518">
            <v>114320.73</v>
          </cell>
          <cell r="R518">
            <v>103500.01999999999</v>
          </cell>
          <cell r="U518">
            <v>11304.59</v>
          </cell>
        </row>
        <row r="537">
          <cell r="C537">
            <v>66205.598290938578</v>
          </cell>
          <cell r="F537">
            <v>50852.605513618277</v>
          </cell>
          <cell r="I537">
            <v>31074.864729663834</v>
          </cell>
          <cell r="L537">
            <v>25958.418143135979</v>
          </cell>
          <cell r="O537">
            <v>32531.33325598143</v>
          </cell>
          <cell r="R537">
            <v>32559.939025332587</v>
          </cell>
          <cell r="U537">
            <v>22342.340290952194</v>
          </cell>
        </row>
        <row r="538">
          <cell r="C538">
            <v>30595.861015606966</v>
          </cell>
          <cell r="F538">
            <v>44870.791239331891</v>
          </cell>
          <cell r="I538">
            <v>26547.738273687635</v>
          </cell>
          <cell r="L538">
            <v>19627.249690411831</v>
          </cell>
          <cell r="O538">
            <v>47988.030928217006</v>
          </cell>
          <cell r="R538">
            <v>-2648.1333912365913</v>
          </cell>
          <cell r="U538">
            <v>3361.3843776377175</v>
          </cell>
        </row>
        <row r="539">
          <cell r="C539">
            <v>13884.164017218976</v>
          </cell>
          <cell r="F539">
            <v>13917.407565493375</v>
          </cell>
          <cell r="I539">
            <v>8539.7764284024906</v>
          </cell>
          <cell r="L539">
            <v>7129.9434234625696</v>
          </cell>
          <cell r="O539">
            <v>18131.989825719247</v>
          </cell>
          <cell r="R539">
            <v>16376.779429422681</v>
          </cell>
          <cell r="U539">
            <v>10945.666324724012</v>
          </cell>
        </row>
        <row r="564">
          <cell r="C564">
            <v>1817250</v>
          </cell>
          <cell r="F564">
            <v>1817250</v>
          </cell>
          <cell r="I564">
            <v>1817250</v>
          </cell>
          <cell r="L564">
            <v>1817250</v>
          </cell>
          <cell r="O564">
            <v>2106937.5</v>
          </cell>
          <cell r="R564">
            <v>2106937.5</v>
          </cell>
          <cell r="U564">
            <v>2106937.5</v>
          </cell>
        </row>
        <row r="572">
          <cell r="C572">
            <v>754366.6773499063</v>
          </cell>
          <cell r="F572">
            <v>794238.59114073578</v>
          </cell>
          <cell r="I572">
            <v>539709.25855835143</v>
          </cell>
          <cell r="L572">
            <v>408982.7728269514</v>
          </cell>
          <cell r="O572">
            <v>623626.45749933401</v>
          </cell>
          <cell r="R572">
            <v>500113.93013469403</v>
          </cell>
          <cell r="U572">
            <v>346935.17068132863</v>
          </cell>
        </row>
        <row r="579">
          <cell r="C579">
            <v>3240251.49714849</v>
          </cell>
          <cell r="F579">
            <v>3417157.4460168364</v>
          </cell>
          <cell r="I579">
            <v>2856268.2533699628</v>
          </cell>
          <cell r="L579">
            <v>2698187.5505304066</v>
          </cell>
          <cell r="O579">
            <v>3561071.4706870108</v>
          </cell>
          <cell r="R579">
            <v>3346228.7406965913</v>
          </cell>
          <cell r="U579">
            <v>2797952.908104531</v>
          </cell>
        </row>
        <row r="581">
          <cell r="C581">
            <v>5024837.0731816022</v>
          </cell>
          <cell r="F581">
            <v>5661418.806947032</v>
          </cell>
          <cell r="I581">
            <v>4213334.5801880732</v>
          </cell>
          <cell r="L581">
            <v>4001048.870800741</v>
          </cell>
          <cell r="O581">
            <v>5867274.1251711734</v>
          </cell>
          <cell r="R581">
            <v>5775885.1535226814</v>
          </cell>
          <cell r="U581">
            <v>3465810.471799098</v>
          </cell>
        </row>
        <row r="589">
          <cell r="C589">
            <v>0</v>
          </cell>
          <cell r="F589">
            <v>0</v>
          </cell>
          <cell r="I589">
            <v>0</v>
          </cell>
          <cell r="L589">
            <v>0</v>
          </cell>
          <cell r="O589">
            <v>0</v>
          </cell>
          <cell r="R589">
            <v>0</v>
          </cell>
          <cell r="U589">
            <v>0</v>
          </cell>
        </row>
        <row r="590">
          <cell r="C590">
            <v>0</v>
          </cell>
          <cell r="F590">
            <v>0</v>
          </cell>
          <cell r="I590">
            <v>0</v>
          </cell>
          <cell r="L590">
            <v>0</v>
          </cell>
          <cell r="O590">
            <v>0</v>
          </cell>
          <cell r="R590">
            <v>0</v>
          </cell>
          <cell r="U590">
            <v>0</v>
          </cell>
        </row>
        <row r="591">
          <cell r="C591">
            <v>220015.75999999998</v>
          </cell>
          <cell r="F591">
            <v>200874.02000000002</v>
          </cell>
          <cell r="I591">
            <v>441507.12</v>
          </cell>
          <cell r="L591">
            <v>1028603.5299999999</v>
          </cell>
          <cell r="O591">
            <v>249725.97999999998</v>
          </cell>
          <cell r="R591">
            <v>447454.02</v>
          </cell>
          <cell r="U591">
            <v>301730.44</v>
          </cell>
        </row>
        <row r="597">
          <cell r="C597">
            <v>0</v>
          </cell>
          <cell r="F597">
            <v>0</v>
          </cell>
          <cell r="I597">
            <v>0</v>
          </cell>
          <cell r="L597">
            <v>0</v>
          </cell>
          <cell r="O597">
            <v>0</v>
          </cell>
          <cell r="R597">
            <v>0</v>
          </cell>
          <cell r="U597">
            <v>0</v>
          </cell>
        </row>
        <row r="598">
          <cell r="C598">
            <v>0</v>
          </cell>
          <cell r="F598">
            <v>0</v>
          </cell>
          <cell r="I598">
            <v>0</v>
          </cell>
          <cell r="L598">
            <v>0</v>
          </cell>
          <cell r="O598">
            <v>0</v>
          </cell>
          <cell r="R598">
            <v>0</v>
          </cell>
          <cell r="U598">
            <v>0</v>
          </cell>
        </row>
        <row r="599">
          <cell r="C599">
            <v>0</v>
          </cell>
          <cell r="F599">
            <v>0</v>
          </cell>
          <cell r="I599">
            <v>0</v>
          </cell>
          <cell r="L599">
            <v>0</v>
          </cell>
          <cell r="O599">
            <v>0</v>
          </cell>
          <cell r="R599">
            <v>0</v>
          </cell>
          <cell r="U599">
            <v>0</v>
          </cell>
        </row>
        <row r="600">
          <cell r="C600">
            <v>0</v>
          </cell>
          <cell r="F600">
            <v>0</v>
          </cell>
          <cell r="I600">
            <v>0</v>
          </cell>
          <cell r="L600">
            <v>0</v>
          </cell>
          <cell r="O600">
            <v>0</v>
          </cell>
          <cell r="R600">
            <v>0</v>
          </cell>
          <cell r="U600">
            <v>0</v>
          </cell>
        </row>
        <row r="604">
          <cell r="C604">
            <v>0</v>
          </cell>
          <cell r="F604">
            <v>0</v>
          </cell>
          <cell r="I604">
            <v>113340.95</v>
          </cell>
          <cell r="L604">
            <v>149048.34</v>
          </cell>
          <cell r="O604">
            <v>161193.20000000001</v>
          </cell>
          <cell r="R604">
            <v>159790.09</v>
          </cell>
          <cell r="U604">
            <v>165611.16999999998</v>
          </cell>
        </row>
        <row r="605">
          <cell r="C605">
            <v>0</v>
          </cell>
          <cell r="F605">
            <v>0</v>
          </cell>
          <cell r="I605">
            <v>0</v>
          </cell>
          <cell r="L605">
            <v>0</v>
          </cell>
          <cell r="O605">
            <v>0</v>
          </cell>
          <cell r="R605">
            <v>0</v>
          </cell>
          <cell r="U605">
            <v>0</v>
          </cell>
        </row>
        <row r="606">
          <cell r="C606">
            <v>0</v>
          </cell>
          <cell r="F606">
            <v>0</v>
          </cell>
          <cell r="I606">
            <v>0</v>
          </cell>
          <cell r="L606">
            <v>0</v>
          </cell>
          <cell r="O606">
            <v>0</v>
          </cell>
          <cell r="R606">
            <v>0</v>
          </cell>
          <cell r="U606">
            <v>0</v>
          </cell>
        </row>
        <row r="607">
          <cell r="C607">
            <v>0</v>
          </cell>
          <cell r="F607">
            <v>0</v>
          </cell>
          <cell r="I607">
            <v>0</v>
          </cell>
          <cell r="L607">
            <v>0</v>
          </cell>
          <cell r="O607">
            <v>0</v>
          </cell>
          <cell r="R607">
            <v>0</v>
          </cell>
          <cell r="U607">
            <v>0</v>
          </cell>
        </row>
        <row r="608">
          <cell r="C608">
            <v>0</v>
          </cell>
          <cell r="F608">
            <v>0</v>
          </cell>
          <cell r="I608">
            <v>40000</v>
          </cell>
          <cell r="L608">
            <v>0</v>
          </cell>
          <cell r="O608">
            <v>0</v>
          </cell>
          <cell r="R608">
            <v>0</v>
          </cell>
          <cell r="U608">
            <v>0</v>
          </cell>
        </row>
        <row r="609">
          <cell r="C609">
            <v>0</v>
          </cell>
          <cell r="F609">
            <v>0</v>
          </cell>
          <cell r="I609">
            <v>0</v>
          </cell>
          <cell r="L609">
            <v>0</v>
          </cell>
          <cell r="O609">
            <v>0</v>
          </cell>
          <cell r="R609">
            <v>0</v>
          </cell>
          <cell r="U609">
            <v>0</v>
          </cell>
        </row>
        <row r="613">
          <cell r="C613">
            <v>0</v>
          </cell>
          <cell r="F613">
            <v>0</v>
          </cell>
          <cell r="I613">
            <v>0</v>
          </cell>
          <cell r="L613">
            <v>0</v>
          </cell>
          <cell r="O613">
            <v>0</v>
          </cell>
          <cell r="R613">
            <v>0</v>
          </cell>
          <cell r="U613">
            <v>0</v>
          </cell>
        </row>
        <row r="614">
          <cell r="C614">
            <v>0</v>
          </cell>
          <cell r="F614">
            <v>0</v>
          </cell>
          <cell r="I614">
            <v>0</v>
          </cell>
          <cell r="L614">
            <v>0</v>
          </cell>
          <cell r="O614">
            <v>0</v>
          </cell>
          <cell r="R614">
            <v>0</v>
          </cell>
          <cell r="U614">
            <v>0</v>
          </cell>
        </row>
        <row r="633">
          <cell r="C633">
            <v>0</v>
          </cell>
          <cell r="F633">
            <v>0</v>
          </cell>
          <cell r="I633">
            <v>0</v>
          </cell>
          <cell r="L633">
            <v>0</v>
          </cell>
          <cell r="O633">
            <v>0</v>
          </cell>
          <cell r="R633">
            <v>0</v>
          </cell>
          <cell r="U633">
            <v>0</v>
          </cell>
        </row>
        <row r="634">
          <cell r="C634">
            <v>0</v>
          </cell>
          <cell r="F634">
            <v>0</v>
          </cell>
          <cell r="I634">
            <v>0</v>
          </cell>
          <cell r="L634">
            <v>0</v>
          </cell>
          <cell r="O634">
            <v>0</v>
          </cell>
          <cell r="R634">
            <v>0</v>
          </cell>
          <cell r="U634">
            <v>0</v>
          </cell>
        </row>
        <row r="635">
          <cell r="C635">
            <v>0</v>
          </cell>
          <cell r="F635">
            <v>0</v>
          </cell>
          <cell r="I635">
            <v>0</v>
          </cell>
          <cell r="L635">
            <v>0</v>
          </cell>
          <cell r="O635">
            <v>0</v>
          </cell>
          <cell r="R635">
            <v>0</v>
          </cell>
          <cell r="U635">
            <v>0</v>
          </cell>
        </row>
        <row r="660">
          <cell r="C660">
            <v>0</v>
          </cell>
          <cell r="F660">
            <v>0</v>
          </cell>
          <cell r="I660">
            <v>0</v>
          </cell>
          <cell r="L660">
            <v>0</v>
          </cell>
          <cell r="O660">
            <v>0</v>
          </cell>
          <cell r="R660">
            <v>0</v>
          </cell>
          <cell r="U660">
            <v>0</v>
          </cell>
        </row>
        <row r="668">
          <cell r="C668">
            <v>0</v>
          </cell>
          <cell r="F668">
            <v>0</v>
          </cell>
          <cell r="I668">
            <v>0</v>
          </cell>
          <cell r="L668">
            <v>0</v>
          </cell>
          <cell r="O668">
            <v>0</v>
          </cell>
          <cell r="R668">
            <v>0</v>
          </cell>
          <cell r="U668">
            <v>0</v>
          </cell>
        </row>
        <row r="675">
          <cell r="C675">
            <v>220015.75999999998</v>
          </cell>
          <cell r="F675">
            <v>200874.02</v>
          </cell>
          <cell r="I675">
            <v>288166.17</v>
          </cell>
          <cell r="L675">
            <v>879555.19</v>
          </cell>
          <cell r="O675">
            <v>88532.78</v>
          </cell>
          <cell r="R675">
            <v>287663.93000000005</v>
          </cell>
          <cell r="U675">
            <v>136119.27000000002</v>
          </cell>
        </row>
        <row r="677">
          <cell r="C677">
            <v>220015.75999999998</v>
          </cell>
          <cell r="F677">
            <v>200874.02</v>
          </cell>
          <cell r="I677">
            <v>441507.12</v>
          </cell>
          <cell r="L677">
            <v>1028603.5299999999</v>
          </cell>
          <cell r="O677">
            <v>249725.98</v>
          </cell>
          <cell r="R677">
            <v>447454.02</v>
          </cell>
          <cell r="U677">
            <v>301730.44</v>
          </cell>
        </row>
      </sheetData>
      <sheetData sheetId="9">
        <row r="200">
          <cell r="C200">
            <v>1959091.71</v>
          </cell>
          <cell r="F200">
            <v>2510980.7599999998</v>
          </cell>
          <cell r="I200">
            <v>2046997.83</v>
          </cell>
          <cell r="L200">
            <v>3886543.6799999997</v>
          </cell>
          <cell r="O200">
            <v>2849858.38</v>
          </cell>
          <cell r="R200">
            <v>4114537.54</v>
          </cell>
          <cell r="U200">
            <v>2194408.7800000003</v>
          </cell>
        </row>
        <row r="201">
          <cell r="C201">
            <v>649421.03</v>
          </cell>
          <cell r="F201">
            <v>683114.23</v>
          </cell>
          <cell r="I201">
            <v>552988.82999999996</v>
          </cell>
          <cell r="L201">
            <v>1617106.52</v>
          </cell>
          <cell r="O201">
            <v>1093732.5499999998</v>
          </cell>
          <cell r="R201">
            <v>1705490.8400000003</v>
          </cell>
          <cell r="U201">
            <v>773440.96</v>
          </cell>
        </row>
        <row r="204">
          <cell r="C204">
            <v>2797391.01</v>
          </cell>
          <cell r="F204">
            <v>3509551.6199999996</v>
          </cell>
          <cell r="I204">
            <v>2610696.1300000004</v>
          </cell>
          <cell r="L204">
            <v>5503650.2000000002</v>
          </cell>
          <cell r="O204">
            <v>3943590.9299999997</v>
          </cell>
          <cell r="R204">
            <v>5870591.3800000008</v>
          </cell>
          <cell r="U204">
            <v>3174951.74</v>
          </cell>
        </row>
        <row r="205">
          <cell r="C205">
            <v>1037</v>
          </cell>
          <cell r="F205">
            <v>1434</v>
          </cell>
          <cell r="I205">
            <v>957</v>
          </cell>
          <cell r="L205">
            <v>2172</v>
          </cell>
          <cell r="O205">
            <v>1559</v>
          </cell>
          <cell r="R205">
            <v>3134</v>
          </cell>
          <cell r="U205">
            <v>1398</v>
          </cell>
        </row>
        <row r="209">
          <cell r="C209">
            <v>30.43</v>
          </cell>
          <cell r="F209">
            <v>31.73</v>
          </cell>
          <cell r="I209">
            <v>29</v>
          </cell>
          <cell r="L209">
            <v>28.07</v>
          </cell>
          <cell r="O209">
            <v>29.07</v>
          </cell>
          <cell r="R209">
            <v>29.6</v>
          </cell>
          <cell r="U209">
            <v>31</v>
          </cell>
        </row>
        <row r="210">
          <cell r="C210">
            <v>7</v>
          </cell>
          <cell r="F210">
            <v>7</v>
          </cell>
          <cell r="I210">
            <v>7</v>
          </cell>
          <cell r="L210">
            <v>7</v>
          </cell>
          <cell r="O210">
            <v>7</v>
          </cell>
          <cell r="R210">
            <v>7</v>
          </cell>
          <cell r="U210">
            <v>7</v>
          </cell>
        </row>
        <row r="211">
          <cell r="C211">
            <v>0.4</v>
          </cell>
          <cell r="F211">
            <v>0.33</v>
          </cell>
          <cell r="I211">
            <v>2.27</v>
          </cell>
          <cell r="L211">
            <v>15.1</v>
          </cell>
          <cell r="O211">
            <v>16.13</v>
          </cell>
          <cell r="R211">
            <v>4.0999999999999996</v>
          </cell>
          <cell r="U211">
            <v>0.1</v>
          </cell>
        </row>
        <row r="212">
          <cell r="C212">
            <v>0</v>
          </cell>
          <cell r="F212">
            <v>0</v>
          </cell>
          <cell r="I212">
            <v>0</v>
          </cell>
          <cell r="L212">
            <v>0</v>
          </cell>
          <cell r="O212">
            <v>0</v>
          </cell>
          <cell r="R212">
            <v>0</v>
          </cell>
          <cell r="U212">
            <v>0</v>
          </cell>
        </row>
        <row r="216">
          <cell r="C216">
            <v>2339062.79</v>
          </cell>
          <cell r="F216">
            <v>2459866.84</v>
          </cell>
          <cell r="I216">
            <v>2517009.1848630235</v>
          </cell>
          <cell r="L216">
            <v>2572969.5121197617</v>
          </cell>
          <cell r="O216">
            <v>2863218.5694682542</v>
          </cell>
          <cell r="R216">
            <v>3061989.0903517134</v>
          </cell>
          <cell r="U216">
            <v>3191609.5548344976</v>
          </cell>
        </row>
        <row r="217">
          <cell r="C217">
            <v>-33729.660000000054</v>
          </cell>
          <cell r="F217">
            <v>121137.41</v>
          </cell>
          <cell r="I217">
            <v>72809.844349668681</v>
          </cell>
          <cell r="L217">
            <v>354925.04158565414</v>
          </cell>
          <cell r="O217">
            <v>394098.48331529938</v>
          </cell>
          <cell r="R217">
            <v>773877.62812817679</v>
          </cell>
          <cell r="U217">
            <v>108752.43352741419</v>
          </cell>
        </row>
        <row r="218">
          <cell r="C218">
            <v>2643.01</v>
          </cell>
          <cell r="F218">
            <v>0</v>
          </cell>
          <cell r="I218">
            <v>107947.58851369888</v>
          </cell>
          <cell r="L218">
            <v>150311.56303290589</v>
          </cell>
          <cell r="O218">
            <v>177486.17105819835</v>
          </cell>
          <cell r="R218">
            <v>63550.71784839579</v>
          </cell>
          <cell r="U218">
            <v>52973.48093367571</v>
          </cell>
        </row>
        <row r="219">
          <cell r="C219">
            <v>0</v>
          </cell>
          <cell r="F219">
            <v>0</v>
          </cell>
          <cell r="I219">
            <v>23187.579230802145</v>
          </cell>
          <cell r="L219">
            <v>151868.91731227437</v>
          </cell>
          <cell r="O219">
            <v>0</v>
          </cell>
          <cell r="R219">
            <v>0</v>
          </cell>
          <cell r="U219">
            <v>0</v>
          </cell>
        </row>
        <row r="220">
          <cell r="C220">
            <v>513914.27999999997</v>
          </cell>
          <cell r="F220">
            <v>532475.54999999993</v>
          </cell>
          <cell r="I220">
            <v>480101.37</v>
          </cell>
          <cell r="L220">
            <v>443989.50999999995</v>
          </cell>
          <cell r="O220">
            <v>465848.54</v>
          </cell>
          <cell r="R220">
            <v>441655.82</v>
          </cell>
          <cell r="U220">
            <v>460762.18999999994</v>
          </cell>
        </row>
        <row r="221">
          <cell r="C221">
            <v>35032.800000000003</v>
          </cell>
          <cell r="F221">
            <v>26664</v>
          </cell>
          <cell r="I221">
            <v>22321.8</v>
          </cell>
          <cell r="L221">
            <v>172218.30000000002</v>
          </cell>
          <cell r="O221">
            <v>161483.85</v>
          </cell>
          <cell r="R221">
            <v>328367.15999999997</v>
          </cell>
          <cell r="U221">
            <v>7999.2</v>
          </cell>
        </row>
        <row r="222">
          <cell r="C222">
            <v>2856923.2199999993</v>
          </cell>
          <cell r="F222">
            <v>3140143.8</v>
          </cell>
          <cell r="I222">
            <v>3223377.3669571932</v>
          </cell>
          <cell r="L222">
            <v>3846282.8440505955</v>
          </cell>
          <cell r="O222">
            <v>4062135.6138417521</v>
          </cell>
          <cell r="R222">
            <v>4669440.4163282868</v>
          </cell>
          <cell r="U222">
            <v>3822096.8592955875</v>
          </cell>
        </row>
        <row r="225">
          <cell r="C225">
            <v>971217.93</v>
          </cell>
          <cell r="F225">
            <v>1261595.3900000001</v>
          </cell>
          <cell r="I225">
            <v>1135150.5599999998</v>
          </cell>
          <cell r="L225">
            <v>2317340.6599999992</v>
          </cell>
          <cell r="O225">
            <v>2080299.39</v>
          </cell>
          <cell r="R225">
            <v>1713721.4500000002</v>
          </cell>
          <cell r="U225">
            <v>841646.83000000007</v>
          </cell>
        </row>
        <row r="226">
          <cell r="C226">
            <v>317948.68</v>
          </cell>
          <cell r="F226">
            <v>202307.78999999998</v>
          </cell>
          <cell r="I226">
            <v>127586.84</v>
          </cell>
          <cell r="L226">
            <v>420664.41000000003</v>
          </cell>
          <cell r="O226">
            <v>241255.73000000004</v>
          </cell>
          <cell r="R226">
            <v>423940.47000000003</v>
          </cell>
          <cell r="U226">
            <v>224378.12</v>
          </cell>
        </row>
        <row r="227">
          <cell r="C227">
            <v>1289166.6100000001</v>
          </cell>
          <cell r="F227">
            <v>1463903.1800000002</v>
          </cell>
          <cell r="I227">
            <v>1262737.3999999999</v>
          </cell>
          <cell r="L227">
            <v>2738005.0699999994</v>
          </cell>
          <cell r="O227">
            <v>2321555.12</v>
          </cell>
          <cell r="R227">
            <v>2137661.9200000004</v>
          </cell>
          <cell r="U227">
            <v>1066024.9500000002</v>
          </cell>
        </row>
        <row r="244">
          <cell r="C244">
            <v>170305.72999999998</v>
          </cell>
          <cell r="F244">
            <v>271160.93</v>
          </cell>
          <cell r="I244">
            <v>178280.61000000002</v>
          </cell>
          <cell r="L244">
            <v>215028.71000000002</v>
          </cell>
          <cell r="O244">
            <v>60654.39</v>
          </cell>
          <cell r="R244">
            <v>83626.429999999993</v>
          </cell>
          <cell r="U244">
            <v>223221.07</v>
          </cell>
        </row>
        <row r="245">
          <cell r="C245">
            <v>118685.15</v>
          </cell>
          <cell r="F245">
            <v>185952.62</v>
          </cell>
          <cell r="I245">
            <v>116747.82</v>
          </cell>
          <cell r="L245">
            <v>142845.79</v>
          </cell>
          <cell r="O245">
            <v>42766.53</v>
          </cell>
          <cell r="R245">
            <v>52898.400000000001</v>
          </cell>
          <cell r="U245">
            <v>181191.25</v>
          </cell>
        </row>
        <row r="246">
          <cell r="C246">
            <v>29947.43</v>
          </cell>
          <cell r="F246">
            <v>46225.83</v>
          </cell>
          <cell r="I246">
            <v>30196.16</v>
          </cell>
          <cell r="L246">
            <v>30702.36</v>
          </cell>
          <cell r="O246">
            <v>3796.71</v>
          </cell>
          <cell r="R246">
            <v>4113.2</v>
          </cell>
          <cell r="U246">
            <v>5853.42</v>
          </cell>
        </row>
        <row r="247">
          <cell r="C247">
            <v>21673.15</v>
          </cell>
          <cell r="F247">
            <v>38982.480000000003</v>
          </cell>
          <cell r="I247">
            <v>31336.63</v>
          </cell>
          <cell r="L247">
            <v>41480.559999999998</v>
          </cell>
          <cell r="O247">
            <v>14091.15</v>
          </cell>
          <cell r="R247">
            <v>26614.83</v>
          </cell>
          <cell r="U247">
            <v>36176.400000000001</v>
          </cell>
        </row>
        <row r="272">
          <cell r="C272">
            <v>391066.91</v>
          </cell>
          <cell r="F272">
            <v>478289.25</v>
          </cell>
          <cell r="I272">
            <v>382717.09</v>
          </cell>
          <cell r="L272">
            <v>779233.82</v>
          </cell>
          <cell r="O272">
            <v>568134.97</v>
          </cell>
          <cell r="R272">
            <v>866267.03</v>
          </cell>
          <cell r="U272">
            <v>435894.44</v>
          </cell>
        </row>
        <row r="280">
          <cell r="C280">
            <v>506123.63497994887</v>
          </cell>
          <cell r="F280">
            <v>680125.3599997774</v>
          </cell>
          <cell r="I280">
            <v>542767.42185748229</v>
          </cell>
          <cell r="L280">
            <v>789945.48636904429</v>
          </cell>
          <cell r="O280">
            <v>399846.17086128629</v>
          </cell>
          <cell r="R280">
            <v>437551.7185214053</v>
          </cell>
          <cell r="U280">
            <v>435506.63588160713</v>
          </cell>
        </row>
        <row r="289">
          <cell r="C289">
            <v>6677543.2249799483</v>
          </cell>
          <cell r="F289">
            <v>7390510.9599997783</v>
          </cell>
          <cell r="I289">
            <v>6620282.5088146757</v>
          </cell>
          <cell r="L289">
            <v>9817717.1604196392</v>
          </cell>
          <cell r="O289">
            <v>8911923.7232967112</v>
          </cell>
          <cell r="R289">
            <v>10226480.270064099</v>
          </cell>
          <cell r="U289">
            <v>7067897.8128561312</v>
          </cell>
        </row>
        <row r="297">
          <cell r="C297">
            <v>349636.18</v>
          </cell>
          <cell r="F297">
            <v>1057679.5899999999</v>
          </cell>
          <cell r="I297">
            <v>307684.65999999997</v>
          </cell>
          <cell r="L297">
            <v>636794.73</v>
          </cell>
          <cell r="O297">
            <v>765540.66999999993</v>
          </cell>
          <cell r="R297">
            <v>2189797.13</v>
          </cell>
          <cell r="U297">
            <v>442100.34</v>
          </cell>
        </row>
        <row r="298">
          <cell r="C298">
            <v>249569.95</v>
          </cell>
          <cell r="F298">
            <v>196532.13</v>
          </cell>
          <cell r="I298">
            <v>43031.25</v>
          </cell>
          <cell r="L298">
            <v>125345.08</v>
          </cell>
          <cell r="O298">
            <v>340240.5</v>
          </cell>
          <cell r="R298">
            <v>979944.8</v>
          </cell>
          <cell r="U298">
            <v>407943.92</v>
          </cell>
        </row>
        <row r="301">
          <cell r="C301">
            <v>599206.13</v>
          </cell>
          <cell r="F301">
            <v>1254636.7199999997</v>
          </cell>
          <cell r="I301">
            <v>350715.91</v>
          </cell>
          <cell r="L301">
            <v>773348.47</v>
          </cell>
          <cell r="O301">
            <v>1128569.03</v>
          </cell>
          <cell r="R301">
            <v>3169741.9299999997</v>
          </cell>
          <cell r="U301">
            <v>850044.26</v>
          </cell>
        </row>
        <row r="302">
          <cell r="C302">
            <v>201</v>
          </cell>
          <cell r="F302">
            <v>238</v>
          </cell>
          <cell r="I302">
            <v>117</v>
          </cell>
          <cell r="L302">
            <v>271</v>
          </cell>
          <cell r="O302">
            <v>247</v>
          </cell>
          <cell r="R302">
            <v>1264</v>
          </cell>
          <cell r="U302">
            <v>208</v>
          </cell>
        </row>
        <row r="306">
          <cell r="C306">
            <v>0</v>
          </cell>
          <cell r="F306">
            <v>0</v>
          </cell>
          <cell r="I306">
            <v>0</v>
          </cell>
          <cell r="L306">
            <v>0</v>
          </cell>
          <cell r="O306">
            <v>0</v>
          </cell>
          <cell r="R306">
            <v>0</v>
          </cell>
          <cell r="U306">
            <v>0</v>
          </cell>
        </row>
        <row r="307">
          <cell r="C307">
            <v>0</v>
          </cell>
          <cell r="F307">
            <v>0</v>
          </cell>
          <cell r="I307">
            <v>0</v>
          </cell>
          <cell r="L307">
            <v>0</v>
          </cell>
          <cell r="O307">
            <v>0</v>
          </cell>
          <cell r="R307">
            <v>0</v>
          </cell>
          <cell r="U307">
            <v>0</v>
          </cell>
        </row>
        <row r="308">
          <cell r="C308">
            <v>0</v>
          </cell>
          <cell r="F308">
            <v>0</v>
          </cell>
          <cell r="I308">
            <v>0</v>
          </cell>
          <cell r="L308">
            <v>0</v>
          </cell>
          <cell r="O308">
            <v>0</v>
          </cell>
          <cell r="R308">
            <v>0</v>
          </cell>
          <cell r="U308">
            <v>0</v>
          </cell>
        </row>
        <row r="309">
          <cell r="C309">
            <v>0</v>
          </cell>
          <cell r="F309">
            <v>0</v>
          </cell>
          <cell r="I309">
            <v>0</v>
          </cell>
          <cell r="L309">
            <v>0</v>
          </cell>
          <cell r="O309">
            <v>0</v>
          </cell>
          <cell r="R309">
            <v>0</v>
          </cell>
          <cell r="U309">
            <v>0</v>
          </cell>
        </row>
        <row r="313">
          <cell r="C313">
            <v>0</v>
          </cell>
          <cell r="F313">
            <v>0</v>
          </cell>
          <cell r="I313">
            <v>0</v>
          </cell>
          <cell r="L313">
            <v>0</v>
          </cell>
          <cell r="O313">
            <v>0</v>
          </cell>
          <cell r="R313">
            <v>0</v>
          </cell>
          <cell r="U313">
            <v>0</v>
          </cell>
        </row>
        <row r="314">
          <cell r="C314">
            <v>0</v>
          </cell>
          <cell r="F314">
            <v>0</v>
          </cell>
          <cell r="I314">
            <v>0</v>
          </cell>
          <cell r="L314">
            <v>0</v>
          </cell>
          <cell r="O314">
            <v>0</v>
          </cell>
          <cell r="R314">
            <v>0</v>
          </cell>
          <cell r="U314">
            <v>0</v>
          </cell>
        </row>
        <row r="315">
          <cell r="C315">
            <v>0</v>
          </cell>
          <cell r="F315">
            <v>0</v>
          </cell>
          <cell r="I315">
            <v>0</v>
          </cell>
          <cell r="L315">
            <v>0</v>
          </cell>
          <cell r="O315">
            <v>0</v>
          </cell>
          <cell r="R315">
            <v>0</v>
          </cell>
          <cell r="U315">
            <v>0</v>
          </cell>
        </row>
        <row r="316">
          <cell r="C316">
            <v>0</v>
          </cell>
          <cell r="F316">
            <v>0</v>
          </cell>
          <cell r="I316">
            <v>0</v>
          </cell>
          <cell r="L316">
            <v>0</v>
          </cell>
          <cell r="O316">
            <v>0</v>
          </cell>
          <cell r="R316">
            <v>0</v>
          </cell>
          <cell r="U316">
            <v>0</v>
          </cell>
        </row>
        <row r="317">
          <cell r="C317">
            <v>0</v>
          </cell>
          <cell r="F317">
            <v>0</v>
          </cell>
          <cell r="I317">
            <v>0</v>
          </cell>
          <cell r="L317">
            <v>0</v>
          </cell>
          <cell r="O317">
            <v>0</v>
          </cell>
          <cell r="R317">
            <v>0</v>
          </cell>
          <cell r="U317">
            <v>0</v>
          </cell>
        </row>
        <row r="318">
          <cell r="C318">
            <v>0</v>
          </cell>
          <cell r="F318">
            <v>0</v>
          </cell>
          <cell r="I318">
            <v>0</v>
          </cell>
          <cell r="L318">
            <v>0</v>
          </cell>
          <cell r="O318">
            <v>0</v>
          </cell>
          <cell r="R318">
            <v>0</v>
          </cell>
          <cell r="U318">
            <v>0</v>
          </cell>
        </row>
        <row r="319">
          <cell r="C319">
            <v>0</v>
          </cell>
          <cell r="F319">
            <v>0</v>
          </cell>
          <cell r="I319">
            <v>0</v>
          </cell>
          <cell r="L319">
            <v>0</v>
          </cell>
          <cell r="O319">
            <v>0</v>
          </cell>
          <cell r="R319">
            <v>0</v>
          </cell>
          <cell r="U319">
            <v>0</v>
          </cell>
        </row>
        <row r="322">
          <cell r="C322">
            <v>96799.19</v>
          </cell>
          <cell r="F322">
            <v>165929.95000000001</v>
          </cell>
          <cell r="I322">
            <v>100329.26</v>
          </cell>
          <cell r="L322">
            <v>425408.33</v>
          </cell>
          <cell r="O322">
            <v>392447.56</v>
          </cell>
          <cell r="R322">
            <v>385251.68</v>
          </cell>
          <cell r="U322">
            <v>94821.63</v>
          </cell>
        </row>
        <row r="323">
          <cell r="C323">
            <v>71013.440000000002</v>
          </cell>
          <cell r="F323">
            <v>29641.72</v>
          </cell>
          <cell r="I323">
            <v>26732.059999999998</v>
          </cell>
          <cell r="L323">
            <v>87836.959999999992</v>
          </cell>
          <cell r="O323">
            <v>94493.759999999995</v>
          </cell>
          <cell r="R323">
            <v>405937.9</v>
          </cell>
          <cell r="U323">
            <v>42444.630000000005</v>
          </cell>
        </row>
        <row r="324">
          <cell r="C324">
            <v>167812.63</v>
          </cell>
          <cell r="F324">
            <v>195571.67</v>
          </cell>
          <cell r="I324">
            <v>127061.31999999999</v>
          </cell>
          <cell r="L324">
            <v>513245.29000000004</v>
          </cell>
          <cell r="O324">
            <v>486941.32</v>
          </cell>
          <cell r="R324">
            <v>791189.58000000007</v>
          </cell>
          <cell r="U324">
            <v>137266.26</v>
          </cell>
        </row>
        <row r="341">
          <cell r="C341">
            <v>0</v>
          </cell>
          <cell r="F341">
            <v>0</v>
          </cell>
          <cell r="I341">
            <v>0</v>
          </cell>
          <cell r="L341">
            <v>0</v>
          </cell>
          <cell r="O341">
            <v>0</v>
          </cell>
          <cell r="R341">
            <v>0</v>
          </cell>
          <cell r="U341">
            <v>0</v>
          </cell>
        </row>
        <row r="342">
          <cell r="C342">
            <v>0</v>
          </cell>
          <cell r="F342">
            <v>0</v>
          </cell>
          <cell r="I342">
            <v>0</v>
          </cell>
          <cell r="L342">
            <v>0</v>
          </cell>
          <cell r="O342">
            <v>0</v>
          </cell>
          <cell r="R342">
            <v>0</v>
          </cell>
          <cell r="U342">
            <v>0</v>
          </cell>
        </row>
        <row r="343">
          <cell r="C343">
            <v>0</v>
          </cell>
          <cell r="F343">
            <v>0</v>
          </cell>
          <cell r="I343">
            <v>0</v>
          </cell>
          <cell r="L343">
            <v>0</v>
          </cell>
          <cell r="O343">
            <v>0</v>
          </cell>
          <cell r="R343">
            <v>0</v>
          </cell>
          <cell r="U343">
            <v>0</v>
          </cell>
        </row>
        <row r="344">
          <cell r="C344">
            <v>0</v>
          </cell>
          <cell r="F344">
            <v>0</v>
          </cell>
          <cell r="I344">
            <v>0</v>
          </cell>
          <cell r="L344">
            <v>0</v>
          </cell>
          <cell r="O344">
            <v>0</v>
          </cell>
          <cell r="R344">
            <v>0</v>
          </cell>
          <cell r="U344">
            <v>0</v>
          </cell>
        </row>
        <row r="369">
          <cell r="C369">
            <v>89880.92</v>
          </cell>
          <cell r="F369">
            <v>188195.51</v>
          </cell>
          <cell r="I369">
            <v>52607.39</v>
          </cell>
          <cell r="L369">
            <v>114419.87</v>
          </cell>
          <cell r="O369">
            <v>169285.35</v>
          </cell>
          <cell r="R369">
            <v>471453.43</v>
          </cell>
          <cell r="U369">
            <v>125106.64</v>
          </cell>
        </row>
        <row r="377">
          <cell r="C377">
            <v>108412.58284370758</v>
          </cell>
          <cell r="F377">
            <v>243139.39307692525</v>
          </cell>
          <cell r="I377">
            <v>72914.334260380099</v>
          </cell>
          <cell r="L377">
            <v>110999.62953076237</v>
          </cell>
          <cell r="O377">
            <v>114427.18405839731</v>
          </cell>
          <cell r="R377">
            <v>236249.79818316968</v>
          </cell>
          <cell r="U377">
            <v>116600.17107002393</v>
          </cell>
        </row>
        <row r="386">
          <cell r="C386">
            <v>398458.7228437076</v>
          </cell>
          <cell r="F386">
            <v>626906.57307692524</v>
          </cell>
          <cell r="I386">
            <v>252583.04426038009</v>
          </cell>
          <cell r="L386">
            <v>738664.78953076247</v>
          </cell>
          <cell r="O386">
            <v>787066.83405839722</v>
          </cell>
          <cell r="R386">
            <v>1549703.5281831697</v>
          </cell>
          <cell r="U386">
            <v>383239.39107002394</v>
          </cell>
        </row>
        <row r="394">
          <cell r="C394">
            <v>2430732.4899999998</v>
          </cell>
          <cell r="F394">
            <v>2032138.53</v>
          </cell>
          <cell r="I394">
            <v>1390836.7400000002</v>
          </cell>
          <cell r="L394">
            <v>3983980.5300000003</v>
          </cell>
          <cell r="O394">
            <v>13216587.379999999</v>
          </cell>
          <cell r="R394">
            <v>23014411.09</v>
          </cell>
          <cell r="U394">
            <v>1146564.6600000001</v>
          </cell>
        </row>
        <row r="395">
          <cell r="C395">
            <v>967846.47</v>
          </cell>
          <cell r="F395">
            <v>879822.73</v>
          </cell>
          <cell r="I395">
            <v>786919.53</v>
          </cell>
          <cell r="L395">
            <v>1601718.47</v>
          </cell>
          <cell r="O395">
            <v>6692711.3500000006</v>
          </cell>
          <cell r="R395">
            <v>13206991.23</v>
          </cell>
          <cell r="U395">
            <v>1569272.6199999999</v>
          </cell>
        </row>
        <row r="398">
          <cell r="C398">
            <v>4209318.47</v>
          </cell>
          <cell r="F398">
            <v>3656909.1599999997</v>
          </cell>
          <cell r="I398">
            <v>2847294.6000000006</v>
          </cell>
          <cell r="L398">
            <v>7096087.5600000005</v>
          </cell>
          <cell r="O398">
            <v>20933573.760000002</v>
          </cell>
          <cell r="R398">
            <v>37074248.280000001</v>
          </cell>
          <cell r="U398">
            <v>3349392.1500000004</v>
          </cell>
        </row>
        <row r="399">
          <cell r="C399">
            <v>0</v>
          </cell>
          <cell r="F399">
            <v>0</v>
          </cell>
          <cell r="I399">
            <v>5450</v>
          </cell>
          <cell r="L399">
            <v>7796</v>
          </cell>
          <cell r="O399">
            <v>16090</v>
          </cell>
          <cell r="R399">
            <v>11170</v>
          </cell>
          <cell r="U399">
            <v>582</v>
          </cell>
        </row>
        <row r="403">
          <cell r="C403">
            <v>16.600000000000001</v>
          </cell>
          <cell r="F403">
            <v>17</v>
          </cell>
          <cell r="I403">
            <v>18.87</v>
          </cell>
          <cell r="L403">
            <v>16.53</v>
          </cell>
          <cell r="O403">
            <v>17.07</v>
          </cell>
          <cell r="R403">
            <v>19.600000000000001</v>
          </cell>
          <cell r="U403">
            <v>20.43</v>
          </cell>
        </row>
        <row r="404">
          <cell r="C404">
            <v>2</v>
          </cell>
          <cell r="F404">
            <v>1</v>
          </cell>
          <cell r="I404">
            <v>1</v>
          </cell>
          <cell r="L404">
            <v>0</v>
          </cell>
          <cell r="O404">
            <v>0</v>
          </cell>
          <cell r="R404">
            <v>0</v>
          </cell>
          <cell r="U404">
            <v>0</v>
          </cell>
        </row>
        <row r="405">
          <cell r="C405">
            <v>4.7</v>
          </cell>
          <cell r="F405">
            <v>0</v>
          </cell>
          <cell r="I405">
            <v>0</v>
          </cell>
          <cell r="L405">
            <v>7.83</v>
          </cell>
          <cell r="O405">
            <v>8.93</v>
          </cell>
          <cell r="R405">
            <v>41.17</v>
          </cell>
          <cell r="U405">
            <v>3</v>
          </cell>
        </row>
        <row r="406">
          <cell r="C406">
            <v>0</v>
          </cell>
          <cell r="F406">
            <v>0</v>
          </cell>
          <cell r="I406">
            <v>0</v>
          </cell>
          <cell r="L406">
            <v>0</v>
          </cell>
          <cell r="O406">
            <v>0</v>
          </cell>
          <cell r="R406">
            <v>0</v>
          </cell>
          <cell r="U406">
            <v>0</v>
          </cell>
        </row>
        <row r="410">
          <cell r="C410">
            <v>1626216.7400000002</v>
          </cell>
          <cell r="F410">
            <v>1650332.9700000002</v>
          </cell>
          <cell r="I410">
            <v>1633060.2029322437</v>
          </cell>
          <cell r="L410">
            <v>1449989.6943472109</v>
          </cell>
          <cell r="O410">
            <v>1713693.2989158637</v>
          </cell>
          <cell r="R410">
            <v>1970877.8249208813</v>
          </cell>
          <cell r="U410">
            <v>1976638.745676833</v>
          </cell>
        </row>
        <row r="411">
          <cell r="C411">
            <v>76777.87</v>
          </cell>
          <cell r="F411">
            <v>96638.080000000002</v>
          </cell>
          <cell r="I411">
            <v>85583.963164334404</v>
          </cell>
          <cell r="L411">
            <v>115967.25866007424</v>
          </cell>
          <cell r="O411">
            <v>402534.63236722932</v>
          </cell>
          <cell r="R411">
            <v>522014.7501651381</v>
          </cell>
          <cell r="U411">
            <v>135456.32363002401</v>
          </cell>
        </row>
        <row r="412">
          <cell r="C412">
            <v>3884.1400000000008</v>
          </cell>
          <cell r="F412">
            <v>0</v>
          </cell>
          <cell r="I412">
            <v>32632.413723020909</v>
          </cell>
          <cell r="L412">
            <v>59594.37375611344</v>
          </cell>
          <cell r="O412">
            <v>224648.74028676879</v>
          </cell>
          <cell r="R412">
            <v>20419.411078827077</v>
          </cell>
          <cell r="U412">
            <v>21600.720386606878</v>
          </cell>
        </row>
        <row r="413">
          <cell r="C413">
            <v>0</v>
          </cell>
          <cell r="F413">
            <v>162011.1</v>
          </cell>
          <cell r="I413">
            <v>0</v>
          </cell>
          <cell r="L413">
            <v>0</v>
          </cell>
          <cell r="O413">
            <v>169047.60151446052</v>
          </cell>
          <cell r="R413">
            <v>0</v>
          </cell>
          <cell r="U413">
            <v>0</v>
          </cell>
        </row>
        <row r="414">
          <cell r="C414">
            <v>0</v>
          </cell>
          <cell r="F414">
            <v>0</v>
          </cell>
          <cell r="I414">
            <v>0</v>
          </cell>
          <cell r="L414">
            <v>0</v>
          </cell>
          <cell r="O414">
            <v>0</v>
          </cell>
          <cell r="R414">
            <v>0</v>
          </cell>
          <cell r="U414">
            <v>0</v>
          </cell>
        </row>
        <row r="415">
          <cell r="C415">
            <v>818467.13</v>
          </cell>
          <cell r="F415">
            <v>285219.7</v>
          </cell>
          <cell r="I415">
            <v>589426.53</v>
          </cell>
          <cell r="L415">
            <v>1732120.4</v>
          </cell>
          <cell r="O415">
            <v>3130940.34</v>
          </cell>
          <cell r="R415">
            <v>5090476.8099999996</v>
          </cell>
          <cell r="U415">
            <v>330679.42</v>
          </cell>
        </row>
        <row r="416">
          <cell r="C416">
            <v>2525345.8800000004</v>
          </cell>
          <cell r="F416">
            <v>2194201.8500000006</v>
          </cell>
          <cell r="I416">
            <v>2340703.109819599</v>
          </cell>
          <cell r="L416">
            <v>3357671.7267633984</v>
          </cell>
          <cell r="O416">
            <v>5640864.6130843218</v>
          </cell>
          <cell r="R416">
            <v>7603788.796164846</v>
          </cell>
          <cell r="U416">
            <v>2464375.209693464</v>
          </cell>
        </row>
        <row r="419">
          <cell r="C419">
            <v>606143.42000000004</v>
          </cell>
          <cell r="F419">
            <v>282851.96999999997</v>
          </cell>
          <cell r="I419">
            <v>972821.45</v>
          </cell>
          <cell r="L419">
            <v>937626.92</v>
          </cell>
          <cell r="O419">
            <v>2262486.7399999998</v>
          </cell>
          <cell r="R419">
            <v>3196556.8</v>
          </cell>
          <cell r="U419">
            <v>373979.97</v>
          </cell>
        </row>
        <row r="420">
          <cell r="C420">
            <v>249597.43</v>
          </cell>
          <cell r="F420">
            <v>181116.22</v>
          </cell>
          <cell r="I420">
            <v>312463.03999999998</v>
          </cell>
          <cell r="L420">
            <v>522643.27</v>
          </cell>
          <cell r="O420">
            <v>725354.72</v>
          </cell>
          <cell r="R420">
            <v>1138769.7200000002</v>
          </cell>
          <cell r="U420">
            <v>10727.42</v>
          </cell>
        </row>
        <row r="421">
          <cell r="C421">
            <v>855740.85000000009</v>
          </cell>
          <cell r="F421">
            <v>463968.18999999994</v>
          </cell>
          <cell r="I421">
            <v>1285284.49</v>
          </cell>
          <cell r="L421">
            <v>1460270.19</v>
          </cell>
          <cell r="O421">
            <v>2987841.46</v>
          </cell>
          <cell r="R421">
            <v>4335326.5199999996</v>
          </cell>
          <cell r="U421">
            <v>384707.38999999996</v>
          </cell>
        </row>
        <row r="438">
          <cell r="C438">
            <v>269035.05000000005</v>
          </cell>
          <cell r="F438">
            <v>81227.439999999988</v>
          </cell>
          <cell r="I438">
            <v>141220.99</v>
          </cell>
          <cell r="L438">
            <v>167902.14</v>
          </cell>
          <cell r="O438">
            <v>230545.04</v>
          </cell>
          <cell r="R438">
            <v>268682.55</v>
          </cell>
          <cell r="U438">
            <v>158545.42000000001</v>
          </cell>
        </row>
        <row r="439">
          <cell r="C439">
            <v>187489.23</v>
          </cell>
          <cell r="F439">
            <v>55702.95</v>
          </cell>
          <cell r="I439">
            <v>92479.24</v>
          </cell>
          <cell r="L439">
            <v>111539.13</v>
          </cell>
          <cell r="O439">
            <v>162554.29999999999</v>
          </cell>
          <cell r="R439">
            <v>169956.77</v>
          </cell>
          <cell r="U439">
            <v>128693.25</v>
          </cell>
        </row>
        <row r="440">
          <cell r="C440">
            <v>47308.35</v>
          </cell>
          <cell r="F440">
            <v>13847.12</v>
          </cell>
          <cell r="I440">
            <v>23919.14</v>
          </cell>
          <cell r="L440">
            <v>23973.5</v>
          </cell>
          <cell r="O440">
            <v>14430.7</v>
          </cell>
          <cell r="R440">
            <v>13215.27</v>
          </cell>
          <cell r="U440">
            <v>4157.4399999999996</v>
          </cell>
        </row>
        <row r="441">
          <cell r="C441">
            <v>34237.47</v>
          </cell>
          <cell r="F441">
            <v>11677.37</v>
          </cell>
          <cell r="I441">
            <v>24822.61</v>
          </cell>
          <cell r="L441">
            <v>32389.51</v>
          </cell>
          <cell r="O441">
            <v>53560.04</v>
          </cell>
          <cell r="R441">
            <v>85510.51</v>
          </cell>
          <cell r="U441">
            <v>25694.73</v>
          </cell>
        </row>
        <row r="466">
          <cell r="C466">
            <v>701877.34</v>
          </cell>
          <cell r="F466">
            <v>570915.25</v>
          </cell>
          <cell r="I466">
            <v>385606.43000000005</v>
          </cell>
          <cell r="L466">
            <v>932729.77</v>
          </cell>
          <cell r="O466">
            <v>3274813.27</v>
          </cell>
          <cell r="R466">
            <v>6900723.8899999997</v>
          </cell>
          <cell r="U466">
            <v>541660.98</v>
          </cell>
        </row>
        <row r="474">
          <cell r="C474">
            <v>761579.47073142172</v>
          </cell>
          <cell r="F474">
            <v>708682.17032564501</v>
          </cell>
          <cell r="I474">
            <v>591956.5787653469</v>
          </cell>
          <cell r="L474">
            <v>1018509.9225422293</v>
          </cell>
          <cell r="O474">
            <v>2122484.1670832988</v>
          </cell>
          <cell r="R474">
            <v>2763248.197288644</v>
          </cell>
          <cell r="U474">
            <v>459434.54482075473</v>
          </cell>
        </row>
        <row r="483">
          <cell r="C483">
            <v>5214958.3007314224</v>
          </cell>
          <cell r="F483">
            <v>4113529.5303256456</v>
          </cell>
          <cell r="I483">
            <v>5092911.7785849459</v>
          </cell>
          <cell r="L483">
            <v>7536490.8093056278</v>
          </cell>
          <cell r="O483">
            <v>14649815.81016762</v>
          </cell>
          <cell r="R483">
            <v>23711309.953453489</v>
          </cell>
          <cell r="U483">
            <v>4149619.8745142189</v>
          </cell>
        </row>
        <row r="491">
          <cell r="C491">
            <v>17031.099999999999</v>
          </cell>
          <cell r="F491">
            <v>8483.6899999999987</v>
          </cell>
          <cell r="I491">
            <v>23763.21</v>
          </cell>
          <cell r="L491">
            <v>47602.3</v>
          </cell>
          <cell r="O491">
            <v>39962.92</v>
          </cell>
          <cell r="R491">
            <v>283616.87</v>
          </cell>
          <cell r="U491">
            <v>20675.189999999999</v>
          </cell>
        </row>
        <row r="492">
          <cell r="C492">
            <v>20894.91</v>
          </cell>
          <cell r="F492">
            <v>14141.31</v>
          </cell>
          <cell r="I492">
            <v>47708.39</v>
          </cell>
          <cell r="L492">
            <v>93892.92</v>
          </cell>
          <cell r="O492">
            <v>52077.77</v>
          </cell>
          <cell r="R492">
            <v>321078.75</v>
          </cell>
          <cell r="U492">
            <v>32006.720000000001</v>
          </cell>
        </row>
        <row r="495">
          <cell r="C495">
            <v>39873.929999999993</v>
          </cell>
          <cell r="F495">
            <v>22625</v>
          </cell>
          <cell r="I495">
            <v>71471.600000000006</v>
          </cell>
          <cell r="L495">
            <v>142841.04999999999</v>
          </cell>
          <cell r="O495">
            <v>92040.69</v>
          </cell>
          <cell r="R495">
            <v>604695.62</v>
          </cell>
          <cell r="U495">
            <v>54148.160000000003</v>
          </cell>
        </row>
        <row r="496">
          <cell r="C496">
            <v>170</v>
          </cell>
          <cell r="F496">
            <v>107</v>
          </cell>
          <cell r="I496">
            <v>296</v>
          </cell>
          <cell r="L496">
            <v>518</v>
          </cell>
          <cell r="O496">
            <v>329</v>
          </cell>
          <cell r="R496">
            <v>1557</v>
          </cell>
          <cell r="U496">
            <v>165</v>
          </cell>
        </row>
        <row r="500">
          <cell r="C500">
            <v>1</v>
          </cell>
          <cell r="F500">
            <v>1.1299999999999999</v>
          </cell>
          <cell r="I500">
            <v>1</v>
          </cell>
          <cell r="L500">
            <v>0.73</v>
          </cell>
          <cell r="O500">
            <v>0.67</v>
          </cell>
          <cell r="R500">
            <v>1</v>
          </cell>
          <cell r="U500">
            <v>1</v>
          </cell>
        </row>
        <row r="501">
          <cell r="C501">
            <v>0</v>
          </cell>
          <cell r="F501">
            <v>0</v>
          </cell>
          <cell r="I501">
            <v>0</v>
          </cell>
          <cell r="L501">
            <v>0</v>
          </cell>
          <cell r="O501">
            <v>0</v>
          </cell>
          <cell r="R501">
            <v>0</v>
          </cell>
          <cell r="U501">
            <v>0</v>
          </cell>
        </row>
        <row r="502">
          <cell r="C502">
            <v>0</v>
          </cell>
          <cell r="F502">
            <v>0</v>
          </cell>
          <cell r="I502">
            <v>0</v>
          </cell>
          <cell r="L502">
            <v>0</v>
          </cell>
          <cell r="O502">
            <v>0</v>
          </cell>
          <cell r="R502">
            <v>0</v>
          </cell>
          <cell r="U502">
            <v>0</v>
          </cell>
        </row>
        <row r="503">
          <cell r="C503">
            <v>0.97</v>
          </cell>
          <cell r="F503">
            <v>0.8</v>
          </cell>
          <cell r="I503">
            <v>0.9</v>
          </cell>
          <cell r="L503">
            <v>1.47</v>
          </cell>
          <cell r="O503">
            <v>5</v>
          </cell>
          <cell r="R503">
            <v>5.0999999999999996</v>
          </cell>
          <cell r="U503">
            <v>7</v>
          </cell>
        </row>
        <row r="507">
          <cell r="C507">
            <v>72083.7</v>
          </cell>
          <cell r="F507">
            <v>73545.78</v>
          </cell>
          <cell r="I507">
            <v>73415.22584050057</v>
          </cell>
          <cell r="L507">
            <v>52501.294265429067</v>
          </cell>
          <cell r="O507">
            <v>0</v>
          </cell>
          <cell r="R507">
            <v>0</v>
          </cell>
          <cell r="U507">
            <v>0</v>
          </cell>
        </row>
        <row r="508">
          <cell r="C508">
            <v>635.08999999999992</v>
          </cell>
          <cell r="F508">
            <v>337.19</v>
          </cell>
          <cell r="I508">
            <v>1222.6557596210471</v>
          </cell>
          <cell r="L508">
            <v>2444.7067176756013</v>
          </cell>
          <cell r="O508">
            <v>0</v>
          </cell>
          <cell r="R508">
            <v>0</v>
          </cell>
          <cell r="U508">
            <v>0</v>
          </cell>
        </row>
        <row r="509">
          <cell r="C509">
            <v>0</v>
          </cell>
          <cell r="F509">
            <v>6052.5</v>
          </cell>
          <cell r="I509">
            <v>1008.764752034783</v>
          </cell>
          <cell r="L509">
            <v>4035.0310876407771</v>
          </cell>
          <cell r="O509">
            <v>0</v>
          </cell>
          <cell r="R509">
            <v>0</v>
          </cell>
          <cell r="U509">
            <v>0</v>
          </cell>
        </row>
        <row r="510">
          <cell r="C510">
            <v>0</v>
          </cell>
          <cell r="F510">
            <v>0</v>
          </cell>
          <cell r="I510">
            <v>0</v>
          </cell>
          <cell r="L510">
            <v>0</v>
          </cell>
          <cell r="O510">
            <v>0</v>
          </cell>
          <cell r="R510">
            <v>0</v>
          </cell>
          <cell r="U510">
            <v>0</v>
          </cell>
        </row>
        <row r="511">
          <cell r="C511">
            <v>0</v>
          </cell>
          <cell r="F511">
            <v>0</v>
          </cell>
          <cell r="I511">
            <v>0</v>
          </cell>
          <cell r="L511">
            <v>0</v>
          </cell>
          <cell r="O511">
            <v>0</v>
          </cell>
          <cell r="R511">
            <v>0</v>
          </cell>
          <cell r="U511">
            <v>0</v>
          </cell>
        </row>
        <row r="512">
          <cell r="C512">
            <v>0</v>
          </cell>
          <cell r="F512">
            <v>0</v>
          </cell>
          <cell r="I512">
            <v>0</v>
          </cell>
          <cell r="L512">
            <v>0</v>
          </cell>
          <cell r="O512">
            <v>0</v>
          </cell>
          <cell r="R512">
            <v>0</v>
          </cell>
          <cell r="U512">
            <v>0</v>
          </cell>
        </row>
        <row r="513">
          <cell r="C513">
            <v>72718.789999999994</v>
          </cell>
          <cell r="F513">
            <v>79935.47</v>
          </cell>
          <cell r="I513">
            <v>75646.6463521564</v>
          </cell>
          <cell r="L513">
            <v>58981.032070745445</v>
          </cell>
          <cell r="O513">
            <v>0</v>
          </cell>
          <cell r="R513">
            <v>0</v>
          </cell>
          <cell r="U513">
            <v>0</v>
          </cell>
        </row>
        <row r="516">
          <cell r="C516">
            <v>9659.2000000000007</v>
          </cell>
          <cell r="F516">
            <v>33388.69</v>
          </cell>
          <cell r="I516">
            <v>47254</v>
          </cell>
          <cell r="L516">
            <v>16417.310000000001</v>
          </cell>
          <cell r="O516">
            <v>22043.83</v>
          </cell>
          <cell r="R516">
            <v>81140.479999999996</v>
          </cell>
          <cell r="U516">
            <v>40649.549999999996</v>
          </cell>
        </row>
        <row r="517">
          <cell r="C517">
            <v>10611.460000000001</v>
          </cell>
          <cell r="F517">
            <v>490.4</v>
          </cell>
          <cell r="I517">
            <v>65916.25</v>
          </cell>
          <cell r="L517">
            <v>49689.74</v>
          </cell>
          <cell r="O517">
            <v>-739.64</v>
          </cell>
          <cell r="R517">
            <v>92545.38</v>
          </cell>
          <cell r="U517">
            <v>38115.39</v>
          </cell>
        </row>
        <row r="518">
          <cell r="C518">
            <v>20270.660000000003</v>
          </cell>
          <cell r="F518">
            <v>33879.090000000004</v>
          </cell>
          <cell r="I518">
            <v>113170.25</v>
          </cell>
          <cell r="L518">
            <v>66107.05</v>
          </cell>
          <cell r="O518">
            <v>21304.190000000002</v>
          </cell>
          <cell r="R518">
            <v>173685.86</v>
          </cell>
          <cell r="U518">
            <v>78764.94</v>
          </cell>
        </row>
        <row r="535">
          <cell r="C535">
            <v>2114.75</v>
          </cell>
          <cell r="F535">
            <v>1363.34</v>
          </cell>
          <cell r="I535">
            <v>4485.05</v>
          </cell>
          <cell r="L535">
            <v>4647.8200000000006</v>
          </cell>
          <cell r="O535">
            <v>1074.52</v>
          </cell>
          <cell r="R535">
            <v>4838.5200000000004</v>
          </cell>
          <cell r="U535">
            <v>3169.84</v>
          </cell>
        </row>
        <row r="536">
          <cell r="C536">
            <v>1473.76</v>
          </cell>
          <cell r="F536">
            <v>934.93</v>
          </cell>
          <cell r="I536">
            <v>2937.06</v>
          </cell>
          <cell r="L536">
            <v>3087.59</v>
          </cell>
          <cell r="O536">
            <v>757.63</v>
          </cell>
          <cell r="R536">
            <v>3060.64</v>
          </cell>
          <cell r="U536">
            <v>2573</v>
          </cell>
        </row>
        <row r="537">
          <cell r="C537">
            <v>371.87</v>
          </cell>
          <cell r="F537">
            <v>232.41</v>
          </cell>
          <cell r="I537">
            <v>759.65</v>
          </cell>
          <cell r="L537">
            <v>663.63</v>
          </cell>
          <cell r="O537">
            <v>67.260000000000005</v>
          </cell>
          <cell r="R537">
            <v>237.98</v>
          </cell>
          <cell r="U537">
            <v>83.12</v>
          </cell>
        </row>
        <row r="538">
          <cell r="C538">
            <v>269.12</v>
          </cell>
          <cell r="F538">
            <v>196</v>
          </cell>
          <cell r="I538">
            <v>788.34</v>
          </cell>
          <cell r="L538">
            <v>896.6</v>
          </cell>
          <cell r="O538">
            <v>249.63</v>
          </cell>
          <cell r="R538">
            <v>1539.9</v>
          </cell>
          <cell r="U538">
            <v>513.72</v>
          </cell>
        </row>
        <row r="563">
          <cell r="C563">
            <v>5981.09</v>
          </cell>
          <cell r="F563">
            <v>3393.75</v>
          </cell>
          <cell r="I563">
            <v>10720.74</v>
          </cell>
          <cell r="L563">
            <v>21426.16</v>
          </cell>
          <cell r="O563">
            <v>13806.1</v>
          </cell>
          <cell r="R563">
            <v>90704.34</v>
          </cell>
          <cell r="U563">
            <v>8122.22</v>
          </cell>
        </row>
        <row r="571">
          <cell r="C571">
            <v>7214.27155531469</v>
          </cell>
          <cell r="F571">
            <v>4384.5590366312845</v>
          </cell>
          <cell r="I571">
            <v>14859.046835155506</v>
          </cell>
          <cell r="L571">
            <v>20502.146505552795</v>
          </cell>
          <cell r="O571">
            <v>9332.1336094894341</v>
          </cell>
          <cell r="R571">
            <v>45069.668554135787</v>
          </cell>
          <cell r="U571">
            <v>7427.4776223146637</v>
          </cell>
        </row>
        <row r="580">
          <cell r="C580">
            <v>118746.2215553147</v>
          </cell>
          <cell r="F580">
            <v>138165.74903663128</v>
          </cell>
          <cell r="I580">
            <v>272372.08318731189</v>
          </cell>
          <cell r="L580">
            <v>270299.92857629829</v>
          </cell>
          <cell r="O580">
            <v>98765.893609489445</v>
          </cell>
          <cell r="R580">
            <v>350255.37855413574</v>
          </cell>
          <cell r="U580">
            <v>152046.19762231468</v>
          </cell>
        </row>
      </sheetData>
      <sheetData sheetId="10">
        <row r="201">
          <cell r="C201">
            <v>2578007.3400000008</v>
          </cell>
          <cell r="F201">
            <v>2842437.8800000031</v>
          </cell>
          <cell r="I201">
            <v>2480785.0300000012</v>
          </cell>
          <cell r="L201">
            <v>3431738.6099999989</v>
          </cell>
          <cell r="O201">
            <v>3403978.3899999959</v>
          </cell>
          <cell r="R201">
            <v>3187031.8999999948</v>
          </cell>
          <cell r="U201">
            <v>3023745.8999999971</v>
          </cell>
        </row>
        <row r="202">
          <cell r="C202">
            <v>1359871.8700000013</v>
          </cell>
          <cell r="F202">
            <v>1415977.870000002</v>
          </cell>
          <cell r="I202">
            <v>1334498.5400000007</v>
          </cell>
          <cell r="L202">
            <v>1840532.0700000012</v>
          </cell>
          <cell r="O202">
            <v>2059219.3599999999</v>
          </cell>
          <cell r="R202">
            <v>1627603.6600000001</v>
          </cell>
          <cell r="U202">
            <v>1506060.6899999988</v>
          </cell>
        </row>
        <row r="205">
          <cell r="C205">
            <v>4345026.6800000016</v>
          </cell>
          <cell r="F205">
            <v>4347310.2800000049</v>
          </cell>
          <cell r="I205">
            <v>3828525.1200000015</v>
          </cell>
          <cell r="L205">
            <v>5495677.0899999999</v>
          </cell>
          <cell r="O205">
            <v>5620439.5499999961</v>
          </cell>
          <cell r="R205">
            <v>4855796.7699999958</v>
          </cell>
          <cell r="U205">
            <v>4718502.9999999963</v>
          </cell>
        </row>
        <row r="206">
          <cell r="C206">
            <v>2846</v>
          </cell>
          <cell r="F206">
            <v>2492</v>
          </cell>
          <cell r="I206">
            <v>2981</v>
          </cell>
          <cell r="L206">
            <v>3721</v>
          </cell>
          <cell r="O206">
            <v>3576</v>
          </cell>
          <cell r="R206">
            <v>2893</v>
          </cell>
          <cell r="U206">
            <v>2751</v>
          </cell>
        </row>
        <row r="210">
          <cell r="C210">
            <v>27.200000000000003</v>
          </cell>
          <cell r="F210">
            <v>30.200000000000003</v>
          </cell>
          <cell r="I210">
            <v>29.869999999999997</v>
          </cell>
          <cell r="L210">
            <v>30.03</v>
          </cell>
          <cell r="O210">
            <v>29.13</v>
          </cell>
          <cell r="R210">
            <v>32</v>
          </cell>
          <cell r="U210">
            <v>32.53</v>
          </cell>
        </row>
        <row r="211">
          <cell r="C211">
            <v>0</v>
          </cell>
          <cell r="F211">
            <v>0</v>
          </cell>
          <cell r="I211">
            <v>0</v>
          </cell>
          <cell r="L211">
            <v>0</v>
          </cell>
          <cell r="O211">
            <v>0</v>
          </cell>
          <cell r="R211">
            <v>0</v>
          </cell>
          <cell r="U211">
            <v>0</v>
          </cell>
        </row>
        <row r="212">
          <cell r="C212">
            <v>1.47</v>
          </cell>
          <cell r="F212">
            <v>1.77</v>
          </cell>
          <cell r="I212">
            <v>0.8</v>
          </cell>
          <cell r="L212">
            <v>2.7</v>
          </cell>
          <cell r="O212">
            <v>4.4700000000000006</v>
          </cell>
          <cell r="R212">
            <v>3.77</v>
          </cell>
          <cell r="U212">
            <v>0.96</v>
          </cell>
        </row>
        <row r="213">
          <cell r="C213">
            <v>0</v>
          </cell>
          <cell r="F213">
            <v>0</v>
          </cell>
          <cell r="I213">
            <v>0</v>
          </cell>
          <cell r="L213">
            <v>0.67</v>
          </cell>
          <cell r="O213">
            <v>5</v>
          </cell>
          <cell r="R213">
            <v>5</v>
          </cell>
          <cell r="U213">
            <v>5</v>
          </cell>
        </row>
        <row r="217">
          <cell r="C217">
            <v>2039138.41</v>
          </cell>
          <cell r="F217">
            <v>2254646.0699999998</v>
          </cell>
          <cell r="I217">
            <v>2318169.468580869</v>
          </cell>
          <cell r="L217">
            <v>2439640.4394072476</v>
          </cell>
          <cell r="O217">
            <v>2594696.5757968482</v>
          </cell>
          <cell r="R217">
            <v>2783587.115812216</v>
          </cell>
          <cell r="U217">
            <v>2826566.011571561</v>
          </cell>
        </row>
        <row r="218">
          <cell r="C218">
            <v>-105836.51999999964</v>
          </cell>
          <cell r="F218">
            <v>277980.40999999997</v>
          </cell>
          <cell r="I218">
            <v>163912.36400173549</v>
          </cell>
          <cell r="L218">
            <v>194514.11203237614</v>
          </cell>
          <cell r="O218">
            <v>367761.19636908406</v>
          </cell>
          <cell r="R218">
            <v>479863.143709292</v>
          </cell>
          <cell r="U218">
            <v>53686.878823014515</v>
          </cell>
        </row>
        <row r="219">
          <cell r="C219">
            <v>18904.310000000005</v>
          </cell>
          <cell r="F219">
            <v>0</v>
          </cell>
          <cell r="I219">
            <v>151693.87459135242</v>
          </cell>
          <cell r="L219">
            <v>60818.297119265379</v>
          </cell>
          <cell r="O219">
            <v>291648.19545759237</v>
          </cell>
          <cell r="R219">
            <v>24533.139354635416</v>
          </cell>
          <cell r="U219">
            <v>77971.4108670844</v>
          </cell>
        </row>
        <row r="220">
          <cell r="C220">
            <v>0</v>
          </cell>
          <cell r="F220">
            <v>0</v>
          </cell>
          <cell r="I220">
            <v>0</v>
          </cell>
          <cell r="L220">
            <v>0</v>
          </cell>
          <cell r="O220">
            <v>0</v>
          </cell>
          <cell r="R220">
            <v>0</v>
          </cell>
          <cell r="U220">
            <v>0</v>
          </cell>
        </row>
        <row r="221">
          <cell r="C221">
            <v>0</v>
          </cell>
          <cell r="F221">
            <v>0</v>
          </cell>
          <cell r="I221">
            <v>0</v>
          </cell>
          <cell r="L221">
            <v>0</v>
          </cell>
          <cell r="O221">
            <v>0</v>
          </cell>
          <cell r="R221">
            <v>0</v>
          </cell>
          <cell r="U221">
            <v>0</v>
          </cell>
        </row>
        <row r="222">
          <cell r="C222">
            <v>156011</v>
          </cell>
          <cell r="F222">
            <v>149656.63</v>
          </cell>
          <cell r="I222">
            <v>247019.9</v>
          </cell>
          <cell r="L222">
            <v>331196.42</v>
          </cell>
          <cell r="O222">
            <v>554469.1</v>
          </cell>
          <cell r="R222">
            <v>436594.41000000003</v>
          </cell>
          <cell r="U222">
            <v>189498.15</v>
          </cell>
        </row>
        <row r="223">
          <cell r="C223">
            <v>2108217.2000000002</v>
          </cell>
          <cell r="F223">
            <v>2682283.11</v>
          </cell>
          <cell r="I223">
            <v>2880795.6071739569</v>
          </cell>
          <cell r="L223">
            <v>3026169.2685588892</v>
          </cell>
          <cell r="O223">
            <v>3808575.0676235245</v>
          </cell>
          <cell r="R223">
            <v>3724577.8088761438</v>
          </cell>
          <cell r="U223">
            <v>3147722.4512616596</v>
          </cell>
        </row>
        <row r="226">
          <cell r="C226">
            <v>753037.02000000014</v>
          </cell>
          <cell r="F226">
            <v>1302427.9800000002</v>
          </cell>
          <cell r="I226">
            <v>1052085.69</v>
          </cell>
          <cell r="L226">
            <v>1410686.21</v>
          </cell>
          <cell r="O226">
            <v>1052376.8900000001</v>
          </cell>
          <cell r="R226">
            <v>1139424.56</v>
          </cell>
          <cell r="U226">
            <v>1480452.79</v>
          </cell>
        </row>
        <row r="227">
          <cell r="C227">
            <v>316063.00999999995</v>
          </cell>
          <cell r="F227">
            <v>381021.54000000004</v>
          </cell>
          <cell r="I227">
            <v>344901.73000000004</v>
          </cell>
          <cell r="L227">
            <v>452695.82000000007</v>
          </cell>
          <cell r="O227">
            <v>478012.87000000005</v>
          </cell>
          <cell r="R227">
            <v>390146.71</v>
          </cell>
          <cell r="U227">
            <v>377877.27</v>
          </cell>
        </row>
        <row r="228">
          <cell r="C228">
            <v>1069100.03</v>
          </cell>
          <cell r="F228">
            <v>1683449.5200000003</v>
          </cell>
          <cell r="I228">
            <v>1396987.42</v>
          </cell>
          <cell r="L228">
            <v>1863382.03</v>
          </cell>
          <cell r="O228">
            <v>1530389.7600000002</v>
          </cell>
          <cell r="R228">
            <v>1529571.27</v>
          </cell>
          <cell r="U228">
            <v>1858330.06</v>
          </cell>
        </row>
        <row r="245">
          <cell r="C245">
            <v>194234</v>
          </cell>
          <cell r="F245">
            <v>138621</v>
          </cell>
          <cell r="I245">
            <v>129702</v>
          </cell>
          <cell r="L245">
            <v>154691</v>
          </cell>
          <cell r="O245">
            <v>152140</v>
          </cell>
          <cell r="R245">
            <v>163332</v>
          </cell>
          <cell r="U245">
            <v>198348</v>
          </cell>
        </row>
        <row r="246">
          <cell r="C246">
            <v>170418</v>
          </cell>
          <cell r="F246">
            <v>112181</v>
          </cell>
          <cell r="I246">
            <v>102242</v>
          </cell>
          <cell r="L246">
            <v>124642</v>
          </cell>
          <cell r="O246">
            <v>117411</v>
          </cell>
          <cell r="R246">
            <v>127056</v>
          </cell>
          <cell r="U246">
            <v>152331</v>
          </cell>
        </row>
        <row r="247">
          <cell r="C247">
            <v>0</v>
          </cell>
          <cell r="F247">
            <v>0</v>
          </cell>
          <cell r="I247">
            <v>0</v>
          </cell>
          <cell r="L247">
            <v>0</v>
          </cell>
          <cell r="O247">
            <v>0</v>
          </cell>
          <cell r="R247">
            <v>0</v>
          </cell>
          <cell r="U247">
            <v>0</v>
          </cell>
        </row>
        <row r="248">
          <cell r="C248">
            <v>23816</v>
          </cell>
          <cell r="F248">
            <v>26440</v>
          </cell>
          <cell r="I248">
            <v>27460</v>
          </cell>
          <cell r="L248">
            <v>30049</v>
          </cell>
          <cell r="O248">
            <v>34729</v>
          </cell>
          <cell r="R248">
            <v>36276</v>
          </cell>
          <cell r="U248">
            <v>46017</v>
          </cell>
        </row>
        <row r="273">
          <cell r="C273">
            <v>528974.92000000004</v>
          </cell>
          <cell r="F273">
            <v>612877.68000000005</v>
          </cell>
          <cell r="I273">
            <v>535687.88</v>
          </cell>
          <cell r="L273">
            <v>763906.36</v>
          </cell>
          <cell r="O273">
            <v>778590.86</v>
          </cell>
          <cell r="R273">
            <v>657382.27</v>
          </cell>
          <cell r="U273">
            <v>676638.68</v>
          </cell>
        </row>
        <row r="281">
          <cell r="C281">
            <v>786132.75352109608</v>
          </cell>
          <cell r="F281">
            <v>842476.84301498788</v>
          </cell>
          <cell r="I281">
            <v>795955.79317728127</v>
          </cell>
          <cell r="L281">
            <v>788801.09636823635</v>
          </cell>
          <cell r="O281">
            <v>569864.18533649226</v>
          </cell>
          <cell r="R281">
            <v>361916.21660851943</v>
          </cell>
          <cell r="U281">
            <v>647234.8357418715</v>
          </cell>
        </row>
        <row r="290">
          <cell r="C290">
            <v>5398654.2935210969</v>
          </cell>
          <cell r="F290">
            <v>7117083.0330149876</v>
          </cell>
          <cell r="I290">
            <v>6532526.2503512381</v>
          </cell>
          <cell r="L290">
            <v>7427286.2149271248</v>
          </cell>
          <cell r="O290">
            <v>7702362.4529600171</v>
          </cell>
          <cell r="R290">
            <v>7864967.9354846627</v>
          </cell>
          <cell r="U290">
            <v>7374096.7770035313</v>
          </cell>
        </row>
        <row r="298">
          <cell r="C298">
            <v>294659.43999999965</v>
          </cell>
          <cell r="F298">
            <v>281598.56999999919</v>
          </cell>
          <cell r="I298">
            <v>310703.18000000133</v>
          </cell>
          <cell r="L298">
            <v>354869.81000000052</v>
          </cell>
          <cell r="O298">
            <v>298461.03000000131</v>
          </cell>
          <cell r="R298">
            <v>223557.50000000081</v>
          </cell>
          <cell r="U298">
            <v>245074.32000000056</v>
          </cell>
        </row>
        <row r="299">
          <cell r="C299">
            <v>496240.49000000156</v>
          </cell>
          <cell r="F299">
            <v>562783.49999999872</v>
          </cell>
          <cell r="I299">
            <v>508397.20000000059</v>
          </cell>
          <cell r="L299">
            <v>651205.38999999722</v>
          </cell>
          <cell r="O299">
            <v>639085.78999999817</v>
          </cell>
          <cell r="R299">
            <v>574121.7699999999</v>
          </cell>
          <cell r="U299">
            <v>725182.66000000248</v>
          </cell>
        </row>
        <row r="302">
          <cell r="C302">
            <v>790899.93000000122</v>
          </cell>
          <cell r="F302">
            <v>844382.06999999797</v>
          </cell>
          <cell r="I302">
            <v>819100.38000000198</v>
          </cell>
          <cell r="L302">
            <v>1006075.1999999977</v>
          </cell>
          <cell r="O302">
            <v>937546.81999999948</v>
          </cell>
          <cell r="R302">
            <v>797679.27000000072</v>
          </cell>
          <cell r="U302">
            <v>970256.98000000301</v>
          </cell>
        </row>
        <row r="303">
          <cell r="C303">
            <v>4125</v>
          </cell>
          <cell r="F303">
            <v>3778</v>
          </cell>
          <cell r="I303">
            <v>3242</v>
          </cell>
          <cell r="L303">
            <v>4094</v>
          </cell>
          <cell r="O303">
            <v>3846</v>
          </cell>
          <cell r="R303">
            <v>2868</v>
          </cell>
          <cell r="U303">
            <v>3516</v>
          </cell>
        </row>
        <row r="307">
          <cell r="C307">
            <v>1</v>
          </cell>
          <cell r="F307">
            <v>1.6</v>
          </cell>
          <cell r="I307">
            <v>1.6</v>
          </cell>
          <cell r="L307">
            <v>2</v>
          </cell>
          <cell r="O307">
            <v>2.37</v>
          </cell>
          <cell r="R307">
            <v>3</v>
          </cell>
          <cell r="U307">
            <v>3</v>
          </cell>
        </row>
        <row r="314">
          <cell r="C314">
            <v>74783.390000000014</v>
          </cell>
          <cell r="F314">
            <v>74052.61</v>
          </cell>
          <cell r="I314">
            <v>75876.347434219904</v>
          </cell>
          <cell r="L314">
            <v>78714.546295387641</v>
          </cell>
          <cell r="O314">
            <v>81447.968633599143</v>
          </cell>
          <cell r="R314">
            <v>80586.442120078209</v>
          </cell>
          <cell r="U314">
            <v>82216.474166505839</v>
          </cell>
        </row>
        <row r="315">
          <cell r="C315">
            <v>12002.249999999998</v>
          </cell>
          <cell r="F315">
            <v>8523.68</v>
          </cell>
          <cell r="I315">
            <v>7550.2255671968542</v>
          </cell>
          <cell r="L315">
            <v>8002.7419902961065</v>
          </cell>
          <cell r="O315">
            <v>7004.9062233717405</v>
          </cell>
          <cell r="R315">
            <v>4450.0889524831964</v>
          </cell>
          <cell r="U315">
            <v>5305.9238069692392</v>
          </cell>
        </row>
        <row r="316">
          <cell r="C316">
            <v>0</v>
          </cell>
          <cell r="F316">
            <v>0</v>
          </cell>
          <cell r="I316">
            <v>5043.7737599383763</v>
          </cell>
          <cell r="L316">
            <v>2145.0158941716131</v>
          </cell>
          <cell r="O316">
            <v>9652.602355439356</v>
          </cell>
          <cell r="R316">
            <v>8580.1072610630708</v>
          </cell>
          <cell r="U316">
            <v>2355.093713750382</v>
          </cell>
        </row>
        <row r="317">
          <cell r="C317">
            <v>0</v>
          </cell>
          <cell r="F317">
            <v>0</v>
          </cell>
          <cell r="I317">
            <v>0</v>
          </cell>
          <cell r="L317">
            <v>0</v>
          </cell>
          <cell r="O317">
            <v>0</v>
          </cell>
          <cell r="R317">
            <v>0</v>
          </cell>
          <cell r="U317">
            <v>0</v>
          </cell>
        </row>
        <row r="318">
          <cell r="C318">
            <v>0</v>
          </cell>
          <cell r="F318">
            <v>0</v>
          </cell>
          <cell r="I318">
            <v>0</v>
          </cell>
          <cell r="L318">
            <v>0</v>
          </cell>
          <cell r="O318">
            <v>0</v>
          </cell>
          <cell r="R318">
            <v>0</v>
          </cell>
          <cell r="U318">
            <v>0</v>
          </cell>
        </row>
        <row r="319">
          <cell r="C319">
            <v>14552</v>
          </cell>
          <cell r="F319">
            <v>14552</v>
          </cell>
          <cell r="I319">
            <v>14552</v>
          </cell>
          <cell r="L319">
            <v>14552</v>
          </cell>
          <cell r="O319">
            <v>14552</v>
          </cell>
          <cell r="R319">
            <v>19298</v>
          </cell>
          <cell r="U319">
            <v>19298</v>
          </cell>
        </row>
        <row r="320">
          <cell r="C320">
            <v>101337.64000000001</v>
          </cell>
          <cell r="F320">
            <v>97128.290000000008</v>
          </cell>
          <cell r="I320">
            <v>103022.34676135515</v>
          </cell>
          <cell r="L320">
            <v>103414.30417985536</v>
          </cell>
          <cell r="O320">
            <v>112657.47721241025</v>
          </cell>
          <cell r="R320">
            <v>112914.63833362448</v>
          </cell>
          <cell r="U320">
            <v>109175.49168722545</v>
          </cell>
        </row>
        <row r="323">
          <cell r="C323">
            <v>103469.56</v>
          </cell>
          <cell r="F323">
            <v>39901.94</v>
          </cell>
          <cell r="I323">
            <v>43562.390000000007</v>
          </cell>
          <cell r="L323">
            <v>118403.08</v>
          </cell>
          <cell r="O323">
            <v>58938.58</v>
          </cell>
          <cell r="R323">
            <v>48052.810000000005</v>
          </cell>
          <cell r="U323">
            <v>54480.02</v>
          </cell>
        </row>
        <row r="324">
          <cell r="C324">
            <v>53318.76</v>
          </cell>
          <cell r="F324">
            <v>57074.51</v>
          </cell>
          <cell r="I324">
            <v>40175.450000000004</v>
          </cell>
          <cell r="L324">
            <v>114563.78</v>
          </cell>
          <cell r="O324">
            <v>58270.59</v>
          </cell>
          <cell r="R324">
            <v>91046.65</v>
          </cell>
          <cell r="U324">
            <v>126028.17</v>
          </cell>
        </row>
        <row r="325">
          <cell r="C325">
            <v>156788.32</v>
          </cell>
          <cell r="F325">
            <v>96976.450000000012</v>
          </cell>
          <cell r="I325">
            <v>83737.840000000011</v>
          </cell>
          <cell r="L325">
            <v>232966.86</v>
          </cell>
          <cell r="O325">
            <v>117209.17</v>
          </cell>
          <cell r="R325">
            <v>139099.46</v>
          </cell>
          <cell r="U325">
            <v>180508.19</v>
          </cell>
        </row>
        <row r="342">
          <cell r="C342">
            <v>10261</v>
          </cell>
          <cell r="F342">
            <v>8771</v>
          </cell>
          <cell r="I342">
            <v>8417</v>
          </cell>
          <cell r="L342">
            <v>10370</v>
          </cell>
          <cell r="O342">
            <v>10686</v>
          </cell>
          <cell r="R342">
            <v>10969</v>
          </cell>
          <cell r="U342">
            <v>16470</v>
          </cell>
        </row>
        <row r="343">
          <cell r="C343">
            <v>7146</v>
          </cell>
          <cell r="F343">
            <v>5606</v>
          </cell>
          <cell r="I343">
            <v>5129</v>
          </cell>
          <cell r="L343">
            <v>6021</v>
          </cell>
          <cell r="O343">
            <v>6191</v>
          </cell>
          <cell r="R343">
            <v>6938</v>
          </cell>
          <cell r="U343">
            <v>11803</v>
          </cell>
        </row>
        <row r="344">
          <cell r="C344">
            <v>0</v>
          </cell>
          <cell r="F344">
            <v>0</v>
          </cell>
          <cell r="I344">
            <v>0</v>
          </cell>
          <cell r="L344">
            <v>0</v>
          </cell>
          <cell r="O344">
            <v>0</v>
          </cell>
          <cell r="R344">
            <v>0</v>
          </cell>
          <cell r="U344">
            <v>0</v>
          </cell>
        </row>
        <row r="345">
          <cell r="C345">
            <v>3115</v>
          </cell>
          <cell r="F345">
            <v>3165</v>
          </cell>
          <cell r="I345">
            <v>3288</v>
          </cell>
          <cell r="L345">
            <v>4349</v>
          </cell>
          <cell r="O345">
            <v>4495</v>
          </cell>
          <cell r="R345">
            <v>4031</v>
          </cell>
          <cell r="U345">
            <v>4667</v>
          </cell>
        </row>
        <row r="370">
          <cell r="C370">
            <v>113053.84</v>
          </cell>
          <cell r="F370">
            <v>121059.48</v>
          </cell>
          <cell r="I370">
            <v>117690.78</v>
          </cell>
          <cell r="L370">
            <v>144225.41</v>
          </cell>
          <cell r="O370">
            <v>134536.16</v>
          </cell>
          <cell r="R370">
            <v>113643.24</v>
          </cell>
          <cell r="U370">
            <v>138111</v>
          </cell>
        </row>
        <row r="378">
          <cell r="C378">
            <v>143095.17191055382</v>
          </cell>
          <cell r="F378">
            <v>163635.0512878639</v>
          </cell>
          <cell r="I378">
            <v>170292.12874923329</v>
          </cell>
          <cell r="L378">
            <v>144403.17503969124</v>
          </cell>
          <cell r="O378">
            <v>95059.176429380692</v>
          </cell>
          <cell r="R378">
            <v>59453.283804842213</v>
          </cell>
          <cell r="U378">
            <v>133089.69329418815</v>
          </cell>
        </row>
        <row r="387">
          <cell r="C387">
            <v>569253.99191055377</v>
          </cell>
          <cell r="F387">
            <v>539518.52128786384</v>
          </cell>
          <cell r="I387">
            <v>538119.93551058846</v>
          </cell>
          <cell r="L387">
            <v>687770.32921954663</v>
          </cell>
          <cell r="O387">
            <v>499203.86364179093</v>
          </cell>
          <cell r="R387">
            <v>489244.98213846673</v>
          </cell>
          <cell r="U387">
            <v>635460.83498141367</v>
          </cell>
        </row>
        <row r="395">
          <cell r="C395">
            <v>675311.06</v>
          </cell>
          <cell r="F395">
            <v>2301309.8600000003</v>
          </cell>
          <cell r="I395">
            <v>978124.95999999985</v>
          </cell>
          <cell r="L395">
            <v>2535040.36</v>
          </cell>
          <cell r="O395">
            <v>3090497.7299999995</v>
          </cell>
          <cell r="R395">
            <v>4640340.75</v>
          </cell>
          <cell r="U395">
            <v>142033.56</v>
          </cell>
        </row>
        <row r="396">
          <cell r="C396">
            <v>402750.18000000005</v>
          </cell>
          <cell r="F396">
            <v>548066.13</v>
          </cell>
          <cell r="I396">
            <v>17911.809999999998</v>
          </cell>
          <cell r="L396">
            <v>1668958.0699999998</v>
          </cell>
          <cell r="O396">
            <v>1124444.49</v>
          </cell>
          <cell r="R396">
            <v>1600702.21</v>
          </cell>
          <cell r="U396">
            <v>19326.389999999974</v>
          </cell>
        </row>
        <row r="399">
          <cell r="C399">
            <v>1078061.24</v>
          </cell>
          <cell r="F399">
            <v>2885572.43</v>
          </cell>
          <cell r="I399">
            <v>1089098.21</v>
          </cell>
          <cell r="L399">
            <v>4232314.13</v>
          </cell>
          <cell r="O399">
            <v>4235923.93</v>
          </cell>
          <cell r="R399">
            <v>6308820.370000001</v>
          </cell>
          <cell r="U399">
            <v>161359.94999999998</v>
          </cell>
        </row>
        <row r="400">
          <cell r="C400">
            <v>110</v>
          </cell>
          <cell r="F400">
            <v>548</v>
          </cell>
          <cell r="I400">
            <v>202</v>
          </cell>
          <cell r="L400">
            <v>385</v>
          </cell>
          <cell r="O400">
            <v>463</v>
          </cell>
          <cell r="R400">
            <v>908</v>
          </cell>
          <cell r="U400">
            <v>0</v>
          </cell>
        </row>
        <row r="404">
          <cell r="C404">
            <v>2</v>
          </cell>
          <cell r="F404">
            <v>2</v>
          </cell>
          <cell r="I404">
            <v>2</v>
          </cell>
          <cell r="L404">
            <v>2</v>
          </cell>
          <cell r="O404">
            <v>2</v>
          </cell>
          <cell r="R404">
            <v>2</v>
          </cell>
          <cell r="U404">
            <v>2</v>
          </cell>
        </row>
        <row r="405">
          <cell r="C405">
            <v>0</v>
          </cell>
          <cell r="F405">
            <v>0</v>
          </cell>
          <cell r="I405">
            <v>0</v>
          </cell>
          <cell r="L405">
            <v>0</v>
          </cell>
          <cell r="O405">
            <v>0</v>
          </cell>
          <cell r="R405">
            <v>0</v>
          </cell>
          <cell r="U405">
            <v>0</v>
          </cell>
        </row>
        <row r="406">
          <cell r="C406">
            <v>0</v>
          </cell>
          <cell r="F406">
            <v>0</v>
          </cell>
          <cell r="I406">
            <v>1.63</v>
          </cell>
          <cell r="L406">
            <v>1.27</v>
          </cell>
          <cell r="O406">
            <v>1</v>
          </cell>
          <cell r="R406">
            <v>1.97</v>
          </cell>
          <cell r="U406">
            <v>7.0000000000000007E-2</v>
          </cell>
        </row>
        <row r="407">
          <cell r="C407">
            <v>0</v>
          </cell>
          <cell r="F407">
            <v>0</v>
          </cell>
          <cell r="I407">
            <v>0</v>
          </cell>
          <cell r="L407">
            <v>0</v>
          </cell>
          <cell r="O407">
            <v>0</v>
          </cell>
          <cell r="R407">
            <v>0</v>
          </cell>
          <cell r="U407">
            <v>0</v>
          </cell>
        </row>
        <row r="411">
          <cell r="C411">
            <v>159156.44</v>
          </cell>
          <cell r="F411">
            <v>163210.76999999999</v>
          </cell>
          <cell r="I411">
            <v>167462.94887546016</v>
          </cell>
          <cell r="L411">
            <v>176512.94503024741</v>
          </cell>
          <cell r="O411">
            <v>198002.18857332104</v>
          </cell>
          <cell r="R411">
            <v>233264.30927035201</v>
          </cell>
          <cell r="U411">
            <v>203265.39878903123</v>
          </cell>
        </row>
        <row r="412">
          <cell r="C412">
            <v>40184.51999999999</v>
          </cell>
          <cell r="F412">
            <v>56452.42</v>
          </cell>
          <cell r="I412">
            <v>50828.209438797523</v>
          </cell>
          <cell r="L412">
            <v>65482.8999368718</v>
          </cell>
          <cell r="O412">
            <v>138738.07131754997</v>
          </cell>
          <cell r="R412">
            <v>260341.5737431407</v>
          </cell>
          <cell r="U412">
            <v>109742.91357430177</v>
          </cell>
        </row>
        <row r="413">
          <cell r="C413">
            <v>0</v>
          </cell>
          <cell r="F413">
            <v>0</v>
          </cell>
          <cell r="I413">
            <v>0</v>
          </cell>
          <cell r="L413">
            <v>4454.6122405848319</v>
          </cell>
          <cell r="O413">
            <v>0</v>
          </cell>
          <cell r="R413">
            <v>1871.5737651455649</v>
          </cell>
          <cell r="U413">
            <v>4890.8888918393468</v>
          </cell>
        </row>
        <row r="414">
          <cell r="C414">
            <v>0</v>
          </cell>
          <cell r="F414">
            <v>0</v>
          </cell>
          <cell r="I414">
            <v>0</v>
          </cell>
          <cell r="L414">
            <v>0</v>
          </cell>
          <cell r="O414">
            <v>0</v>
          </cell>
          <cell r="R414">
            <v>0</v>
          </cell>
          <cell r="U414">
            <v>0</v>
          </cell>
        </row>
        <row r="415">
          <cell r="C415">
            <v>0</v>
          </cell>
          <cell r="F415">
            <v>0</v>
          </cell>
          <cell r="I415">
            <v>0</v>
          </cell>
          <cell r="L415">
            <v>0</v>
          </cell>
          <cell r="O415">
            <v>0</v>
          </cell>
          <cell r="R415">
            <v>0</v>
          </cell>
          <cell r="U415">
            <v>0</v>
          </cell>
        </row>
        <row r="416">
          <cell r="C416">
            <v>73426.600000000006</v>
          </cell>
          <cell r="F416">
            <v>140617.70000000001</v>
          </cell>
          <cell r="I416">
            <v>95532.95</v>
          </cell>
          <cell r="L416">
            <v>129642.00000000001</v>
          </cell>
          <cell r="O416">
            <v>99911.63</v>
          </cell>
          <cell r="R416">
            <v>240551.86</v>
          </cell>
          <cell r="U416">
            <v>9142.5</v>
          </cell>
        </row>
        <row r="417">
          <cell r="C417">
            <v>272767.56</v>
          </cell>
          <cell r="F417">
            <v>360280.89</v>
          </cell>
          <cell r="I417">
            <v>313824.1083142577</v>
          </cell>
          <cell r="L417">
            <v>376092.45720770408</v>
          </cell>
          <cell r="O417">
            <v>436651.88989087101</v>
          </cell>
          <cell r="R417">
            <v>736029.31677863817</v>
          </cell>
          <cell r="U417">
            <v>327041.70125517237</v>
          </cell>
        </row>
        <row r="420">
          <cell r="C420">
            <v>97593.87000000001</v>
          </cell>
          <cell r="F420">
            <v>717407.62</v>
          </cell>
          <cell r="I420">
            <v>314605.29000000004</v>
          </cell>
          <cell r="L420">
            <v>413865.77</v>
          </cell>
          <cell r="O420">
            <v>533355.90999999992</v>
          </cell>
          <cell r="R420">
            <v>946283.24</v>
          </cell>
          <cell r="U420">
            <v>4566.6400000000003</v>
          </cell>
        </row>
        <row r="421">
          <cell r="C421">
            <v>75480.819999999992</v>
          </cell>
          <cell r="F421">
            <v>86089.180000000008</v>
          </cell>
          <cell r="I421">
            <v>30830.33</v>
          </cell>
          <cell r="L421">
            <v>191701.95</v>
          </cell>
          <cell r="O421">
            <v>143777.33000000002</v>
          </cell>
          <cell r="R421">
            <v>359672.2</v>
          </cell>
          <cell r="U421">
            <v>0</v>
          </cell>
        </row>
        <row r="422">
          <cell r="C422">
            <v>173074.69</v>
          </cell>
          <cell r="F422">
            <v>803496.8</v>
          </cell>
          <cell r="I422">
            <v>345435.62000000005</v>
          </cell>
          <cell r="L422">
            <v>605567.72</v>
          </cell>
          <cell r="O422">
            <v>677133.24</v>
          </cell>
          <cell r="R422">
            <v>1305955.44</v>
          </cell>
          <cell r="U422">
            <v>4566.6400000000003</v>
          </cell>
        </row>
        <row r="439">
          <cell r="C439">
            <v>0</v>
          </cell>
          <cell r="F439">
            <v>0</v>
          </cell>
          <cell r="I439">
            <v>0</v>
          </cell>
          <cell r="L439">
            <v>0</v>
          </cell>
          <cell r="O439">
            <v>0</v>
          </cell>
          <cell r="R439">
            <v>0</v>
          </cell>
          <cell r="U439">
            <v>0</v>
          </cell>
        </row>
        <row r="440">
          <cell r="C440">
            <v>0</v>
          </cell>
          <cell r="F440">
            <v>0</v>
          </cell>
          <cell r="I440">
            <v>0</v>
          </cell>
          <cell r="L440">
            <v>0</v>
          </cell>
          <cell r="O440">
            <v>0</v>
          </cell>
          <cell r="R440">
            <v>0</v>
          </cell>
          <cell r="U440">
            <v>0</v>
          </cell>
        </row>
        <row r="441">
          <cell r="C441">
            <v>0</v>
          </cell>
          <cell r="F441">
            <v>0</v>
          </cell>
          <cell r="I441">
            <v>0</v>
          </cell>
          <cell r="L441">
            <v>0</v>
          </cell>
          <cell r="O441">
            <v>0</v>
          </cell>
          <cell r="R441">
            <v>0</v>
          </cell>
          <cell r="U441">
            <v>0</v>
          </cell>
        </row>
        <row r="442">
          <cell r="C442">
            <v>0</v>
          </cell>
          <cell r="F442">
            <v>0</v>
          </cell>
          <cell r="I442">
            <v>0</v>
          </cell>
          <cell r="L442">
            <v>0</v>
          </cell>
          <cell r="O442">
            <v>0</v>
          </cell>
          <cell r="R442">
            <v>0</v>
          </cell>
          <cell r="U442">
            <v>0</v>
          </cell>
        </row>
        <row r="467">
          <cell r="C467">
            <v>52241.02</v>
          </cell>
          <cell r="F467">
            <v>361717.4</v>
          </cell>
          <cell r="I467">
            <v>216824.74</v>
          </cell>
          <cell r="L467">
            <v>509960.92</v>
          </cell>
          <cell r="O467">
            <v>420552.83</v>
          </cell>
          <cell r="R467">
            <v>558784.12</v>
          </cell>
          <cell r="U467">
            <v>120930.03</v>
          </cell>
        </row>
        <row r="475">
          <cell r="C475">
            <v>195050.41360656661</v>
          </cell>
          <cell r="F475">
            <v>559202.7701131755</v>
          </cell>
          <cell r="I475">
            <v>226425.05989055827</v>
          </cell>
          <cell r="L475">
            <v>607469.10184979206</v>
          </cell>
          <cell r="O475">
            <v>429486.22043569601</v>
          </cell>
          <cell r="R475">
            <v>470214.16004878678</v>
          </cell>
          <cell r="U475">
            <v>22133.668397279111</v>
          </cell>
        </row>
        <row r="484">
          <cell r="C484">
            <v>741105.36360656656</v>
          </cell>
          <cell r="F484">
            <v>2137833.3501131753</v>
          </cell>
          <cell r="I484">
            <v>1151141.598204816</v>
          </cell>
          <cell r="L484">
            <v>2213916.7790574962</v>
          </cell>
          <cell r="O484">
            <v>1987205.4603265671</v>
          </cell>
          <cell r="R484">
            <v>3154564.4068274247</v>
          </cell>
          <cell r="U484">
            <v>476460.35965245147</v>
          </cell>
        </row>
      </sheetData>
      <sheetData sheetId="11">
        <row r="112">
          <cell r="C112">
            <v>0</v>
          </cell>
          <cell r="F112">
            <v>0</v>
          </cell>
          <cell r="I112">
            <v>0</v>
          </cell>
          <cell r="L112">
            <v>9545.4500000000007</v>
          </cell>
          <cell r="O112">
            <v>11818.18</v>
          </cell>
          <cell r="R112">
            <v>0</v>
          </cell>
          <cell r="U112">
            <v>0</v>
          </cell>
        </row>
        <row r="113">
          <cell r="C113">
            <v>0</v>
          </cell>
          <cell r="F113">
            <v>0</v>
          </cell>
          <cell r="I113">
            <v>0</v>
          </cell>
          <cell r="L113">
            <v>0</v>
          </cell>
          <cell r="O113">
            <v>0</v>
          </cell>
          <cell r="R113">
            <v>0</v>
          </cell>
          <cell r="U113">
            <v>0</v>
          </cell>
        </row>
        <row r="115">
          <cell r="C115">
            <v>215203.47</v>
          </cell>
          <cell r="F115">
            <v>148511.79</v>
          </cell>
          <cell r="I115">
            <v>244992.46</v>
          </cell>
          <cell r="L115">
            <v>1823238.05</v>
          </cell>
          <cell r="O115">
            <v>85111.010000000009</v>
          </cell>
          <cell r="R115">
            <v>1294432.94</v>
          </cell>
          <cell r="U115">
            <v>1975280.82</v>
          </cell>
        </row>
        <row r="117">
          <cell r="C117">
            <v>0</v>
          </cell>
          <cell r="F117">
            <v>0</v>
          </cell>
          <cell r="I117">
            <v>0</v>
          </cell>
          <cell r="L117">
            <v>0</v>
          </cell>
          <cell r="O117">
            <v>0</v>
          </cell>
          <cell r="R117">
            <v>0</v>
          </cell>
          <cell r="U117">
            <v>0</v>
          </cell>
        </row>
        <row r="121">
          <cell r="C121">
            <v>4</v>
          </cell>
          <cell r="F121">
            <v>4</v>
          </cell>
          <cell r="I121">
            <v>3.67</v>
          </cell>
          <cell r="L121">
            <v>3.67</v>
          </cell>
          <cell r="O121">
            <v>3.9</v>
          </cell>
          <cell r="R121">
            <v>3.93</v>
          </cell>
          <cell r="U121">
            <v>3.37</v>
          </cell>
        </row>
        <row r="122">
          <cell r="R122">
            <v>1.6</v>
          </cell>
        </row>
        <row r="123">
          <cell r="U123">
            <v>2.2999999999999998</v>
          </cell>
        </row>
        <row r="128">
          <cell r="C128">
            <v>297613.42</v>
          </cell>
          <cell r="F128">
            <v>297694.57</v>
          </cell>
          <cell r="I128">
            <v>310333.48</v>
          </cell>
          <cell r="L128">
            <v>313720.77</v>
          </cell>
          <cell r="O128">
            <v>349098.83</v>
          </cell>
          <cell r="R128">
            <v>359426.01999999996</v>
          </cell>
          <cell r="U128">
            <v>319745.82</v>
          </cell>
        </row>
        <row r="129">
          <cell r="C129">
            <v>141353.87324025412</v>
          </cell>
          <cell r="F129">
            <v>135988.61768920359</v>
          </cell>
          <cell r="I129">
            <v>133439.87</v>
          </cell>
          <cell r="L129">
            <v>140026.26999999999</v>
          </cell>
          <cell r="O129">
            <v>177241.16</v>
          </cell>
          <cell r="R129">
            <v>229623.76692698285</v>
          </cell>
          <cell r="U129">
            <v>167029.87</v>
          </cell>
        </row>
        <row r="130">
          <cell r="C130">
            <v>2824.29</v>
          </cell>
          <cell r="F130">
            <v>0</v>
          </cell>
          <cell r="I130">
            <v>17009.599999999999</v>
          </cell>
          <cell r="L130">
            <v>7740.26</v>
          </cell>
          <cell r="O130">
            <v>38677.61</v>
          </cell>
          <cell r="R130">
            <v>0</v>
          </cell>
          <cell r="U130">
            <v>10477.85</v>
          </cell>
        </row>
        <row r="131">
          <cell r="C131">
            <v>0</v>
          </cell>
          <cell r="F131">
            <v>0</v>
          </cell>
          <cell r="I131">
            <v>0</v>
          </cell>
          <cell r="L131">
            <v>0</v>
          </cell>
          <cell r="O131">
            <v>0</v>
          </cell>
          <cell r="R131">
            <v>0</v>
          </cell>
          <cell r="U131">
            <v>213954.46000000002</v>
          </cell>
        </row>
        <row r="132">
          <cell r="C132">
            <v>41160.25</v>
          </cell>
          <cell r="F132">
            <v>35750</v>
          </cell>
          <cell r="I132">
            <v>62817</v>
          </cell>
          <cell r="L132">
            <v>49094.65</v>
          </cell>
          <cell r="O132">
            <v>0</v>
          </cell>
          <cell r="R132">
            <v>86275.8</v>
          </cell>
          <cell r="U132">
            <v>0</v>
          </cell>
        </row>
        <row r="133">
          <cell r="C133">
            <v>0</v>
          </cell>
          <cell r="F133">
            <v>0</v>
          </cell>
          <cell r="I133">
            <v>0</v>
          </cell>
          <cell r="L133">
            <v>0</v>
          </cell>
          <cell r="O133">
            <v>0</v>
          </cell>
          <cell r="R133">
            <v>0</v>
          </cell>
          <cell r="U133">
            <v>42000</v>
          </cell>
        </row>
        <row r="134">
          <cell r="C134">
            <v>482951.83324025408</v>
          </cell>
          <cell r="F134">
            <v>469433.18768920359</v>
          </cell>
          <cell r="I134">
            <v>523599.94999999995</v>
          </cell>
          <cell r="L134">
            <v>510581.95000000007</v>
          </cell>
          <cell r="O134">
            <v>565017.59999999998</v>
          </cell>
          <cell r="R134">
            <v>675325.58692698285</v>
          </cell>
          <cell r="U134">
            <v>753208</v>
          </cell>
        </row>
        <row r="137">
          <cell r="C137">
            <v>0</v>
          </cell>
          <cell r="F137">
            <v>0</v>
          </cell>
          <cell r="I137">
            <v>0</v>
          </cell>
          <cell r="L137">
            <v>0</v>
          </cell>
          <cell r="O137">
            <v>0</v>
          </cell>
          <cell r="R137">
            <v>0</v>
          </cell>
          <cell r="U137">
            <v>0</v>
          </cell>
        </row>
        <row r="138">
          <cell r="C138">
            <v>0</v>
          </cell>
          <cell r="F138">
            <v>0</v>
          </cell>
          <cell r="I138">
            <v>0</v>
          </cell>
          <cell r="L138">
            <v>0</v>
          </cell>
          <cell r="O138">
            <v>0</v>
          </cell>
          <cell r="R138">
            <v>0</v>
          </cell>
          <cell r="U138">
            <v>0</v>
          </cell>
        </row>
        <row r="139">
          <cell r="C139">
            <v>0</v>
          </cell>
          <cell r="F139">
            <v>0</v>
          </cell>
          <cell r="I139">
            <v>0</v>
          </cell>
          <cell r="L139">
            <v>0</v>
          </cell>
          <cell r="O139">
            <v>0</v>
          </cell>
          <cell r="R139">
            <v>0</v>
          </cell>
          <cell r="U139">
            <v>0</v>
          </cell>
        </row>
        <row r="156">
          <cell r="C156">
            <v>297870.88</v>
          </cell>
          <cell r="F156">
            <v>21632.230000000003</v>
          </cell>
          <cell r="I156">
            <v>0</v>
          </cell>
          <cell r="L156">
            <v>0</v>
          </cell>
          <cell r="O156">
            <v>0</v>
          </cell>
          <cell r="R156">
            <v>0</v>
          </cell>
          <cell r="U156">
            <v>0</v>
          </cell>
        </row>
        <row r="157">
          <cell r="C157">
            <v>297870.88</v>
          </cell>
          <cell r="F157">
            <v>21632.230000000003</v>
          </cell>
          <cell r="I157">
            <v>0</v>
          </cell>
          <cell r="L157">
            <v>0</v>
          </cell>
          <cell r="O157">
            <v>0</v>
          </cell>
          <cell r="R157">
            <v>0</v>
          </cell>
          <cell r="U157">
            <v>0</v>
          </cell>
        </row>
        <row r="158">
          <cell r="C158">
            <v>0</v>
          </cell>
          <cell r="F158">
            <v>0</v>
          </cell>
          <cell r="I158">
            <v>0</v>
          </cell>
          <cell r="L158">
            <v>0</v>
          </cell>
          <cell r="O158">
            <v>0</v>
          </cell>
          <cell r="R158">
            <v>0</v>
          </cell>
          <cell r="U158">
            <v>0</v>
          </cell>
        </row>
        <row r="159">
          <cell r="C159">
            <v>0</v>
          </cell>
          <cell r="F159">
            <v>0</v>
          </cell>
          <cell r="I159">
            <v>0</v>
          </cell>
          <cell r="L159">
            <v>0</v>
          </cell>
          <cell r="O159">
            <v>0</v>
          </cell>
          <cell r="R159">
            <v>0</v>
          </cell>
          <cell r="U159">
            <v>0</v>
          </cell>
        </row>
        <row r="184">
          <cell r="C184">
            <v>32500</v>
          </cell>
          <cell r="F184">
            <v>36875</v>
          </cell>
          <cell r="I184">
            <v>60750</v>
          </cell>
          <cell r="L184">
            <v>17000</v>
          </cell>
          <cell r="O184">
            <v>4605</v>
          </cell>
          <cell r="R184">
            <v>315612.5</v>
          </cell>
          <cell r="U184">
            <v>479500</v>
          </cell>
        </row>
        <row r="192">
          <cell r="C192">
            <v>0</v>
          </cell>
          <cell r="F192">
            <v>0</v>
          </cell>
          <cell r="I192">
            <v>0</v>
          </cell>
          <cell r="L192">
            <v>0</v>
          </cell>
          <cell r="O192">
            <v>0</v>
          </cell>
          <cell r="R192">
            <v>0</v>
          </cell>
          <cell r="U192">
            <v>0</v>
          </cell>
        </row>
        <row r="201">
          <cell r="C201">
            <v>1588525.7832402543</v>
          </cell>
          <cell r="F201">
            <v>1219035.6976892035</v>
          </cell>
          <cell r="I201">
            <v>1318889.21</v>
          </cell>
          <cell r="L201">
            <v>1333089.1000000001</v>
          </cell>
          <cell r="O201">
            <v>1345357.7000000002</v>
          </cell>
          <cell r="R201">
            <v>1831631.5369269825</v>
          </cell>
          <cell r="U201">
            <v>2167984.08</v>
          </cell>
        </row>
        <row r="210">
          <cell r="C210">
            <v>90.9</v>
          </cell>
          <cell r="F210">
            <v>0</v>
          </cell>
          <cell r="I210">
            <v>0</v>
          </cell>
          <cell r="L210">
            <v>4613.63</v>
          </cell>
          <cell r="O210">
            <v>0</v>
          </cell>
          <cell r="R210">
            <v>72753.63</v>
          </cell>
          <cell r="U210">
            <v>-6135.44</v>
          </cell>
        </row>
        <row r="211">
          <cell r="C211">
            <v>645782.62000000011</v>
          </cell>
          <cell r="F211">
            <v>494801.26</v>
          </cell>
          <cell r="I211">
            <v>631148.62999999989</v>
          </cell>
          <cell r="L211">
            <v>818877.69999999984</v>
          </cell>
          <cell r="O211">
            <v>770667.52000000002</v>
          </cell>
          <cell r="R211">
            <v>961378.98999999987</v>
          </cell>
          <cell r="U211">
            <v>1049094.04</v>
          </cell>
        </row>
        <row r="214">
          <cell r="C214">
            <v>645873.52000000014</v>
          </cell>
          <cell r="F214">
            <v>494801.26</v>
          </cell>
          <cell r="I214">
            <v>631148.62999999989</v>
          </cell>
          <cell r="L214">
            <v>823491.32999999984</v>
          </cell>
          <cell r="O214">
            <v>770667.52000000002</v>
          </cell>
          <cell r="R214">
            <v>1034132.6199999999</v>
          </cell>
          <cell r="U214">
            <v>1043475.27</v>
          </cell>
        </row>
        <row r="215">
          <cell r="C215">
            <v>1568</v>
          </cell>
          <cell r="F215">
            <v>1185</v>
          </cell>
          <cell r="I215">
            <v>1432</v>
          </cell>
          <cell r="L215">
            <v>1964</v>
          </cell>
          <cell r="O215">
            <v>1927</v>
          </cell>
          <cell r="R215">
            <v>2736</v>
          </cell>
          <cell r="U215">
            <v>2733</v>
          </cell>
        </row>
        <row r="219">
          <cell r="C219">
            <v>5</v>
          </cell>
          <cell r="F219">
            <v>5</v>
          </cell>
          <cell r="I219">
            <v>5</v>
          </cell>
          <cell r="L219">
            <v>5</v>
          </cell>
          <cell r="O219">
            <v>5</v>
          </cell>
          <cell r="R219">
            <v>5</v>
          </cell>
          <cell r="U219">
            <v>5.0999999999999996</v>
          </cell>
        </row>
        <row r="226">
          <cell r="C226">
            <v>346041.39000000007</v>
          </cell>
          <cell r="F226">
            <v>344964.64000000007</v>
          </cell>
          <cell r="I226">
            <v>355129.4</v>
          </cell>
          <cell r="L226">
            <v>362762.39</v>
          </cell>
          <cell r="O226">
            <v>379467.58999999997</v>
          </cell>
          <cell r="R226">
            <v>445131.13</v>
          </cell>
          <cell r="U226">
            <v>481723.33000000007</v>
          </cell>
        </row>
        <row r="227">
          <cell r="C227">
            <v>35809.585887520851</v>
          </cell>
          <cell r="F227">
            <v>36197.332046705538</v>
          </cell>
          <cell r="I227">
            <v>36470.160000000003</v>
          </cell>
          <cell r="L227">
            <v>37118.089999999997</v>
          </cell>
          <cell r="O227">
            <v>36197.33</v>
          </cell>
          <cell r="R227">
            <v>37426.112758909396</v>
          </cell>
          <cell r="U227">
            <v>37492.76999999999</v>
          </cell>
        </row>
        <row r="228">
          <cell r="C228">
            <v>6298.22</v>
          </cell>
          <cell r="F228">
            <v>0</v>
          </cell>
          <cell r="I228">
            <v>20298.080000000002</v>
          </cell>
          <cell r="L228">
            <v>7504.73</v>
          </cell>
          <cell r="O228">
            <v>44574.83</v>
          </cell>
          <cell r="R228">
            <v>0</v>
          </cell>
          <cell r="U228">
            <v>12016.83</v>
          </cell>
        </row>
        <row r="229">
          <cell r="C229">
            <v>0</v>
          </cell>
          <cell r="F229">
            <v>0</v>
          </cell>
          <cell r="I229">
            <v>0</v>
          </cell>
          <cell r="L229">
            <v>0</v>
          </cell>
          <cell r="O229">
            <v>0</v>
          </cell>
          <cell r="R229">
            <v>0</v>
          </cell>
          <cell r="U229">
            <v>0</v>
          </cell>
        </row>
        <row r="230">
          <cell r="C230">
            <v>0</v>
          </cell>
          <cell r="F230">
            <v>0</v>
          </cell>
          <cell r="I230">
            <v>0</v>
          </cell>
          <cell r="L230">
            <v>0</v>
          </cell>
          <cell r="O230">
            <v>0</v>
          </cell>
          <cell r="R230">
            <v>0</v>
          </cell>
          <cell r="U230">
            <v>0</v>
          </cell>
        </row>
        <row r="231">
          <cell r="C231">
            <v>0</v>
          </cell>
          <cell r="F231">
            <v>0</v>
          </cell>
          <cell r="I231">
            <v>0</v>
          </cell>
          <cell r="L231">
            <v>0</v>
          </cell>
          <cell r="O231">
            <v>0</v>
          </cell>
          <cell r="R231">
            <v>0</v>
          </cell>
          <cell r="U231">
            <v>0</v>
          </cell>
        </row>
        <row r="232">
          <cell r="C232">
            <v>388149.19588752091</v>
          </cell>
          <cell r="F232">
            <v>381161.9720467056</v>
          </cell>
          <cell r="I232">
            <v>411897.64000000007</v>
          </cell>
          <cell r="L232">
            <v>407385.20999999996</v>
          </cell>
          <cell r="O232">
            <v>460239.75</v>
          </cell>
          <cell r="R232">
            <v>482557.24275890941</v>
          </cell>
          <cell r="U232">
            <v>531232.93000000005</v>
          </cell>
        </row>
        <row r="235">
          <cell r="C235">
            <v>25860.7</v>
          </cell>
          <cell r="F235">
            <v>8508.09</v>
          </cell>
          <cell r="I235">
            <v>22292.15</v>
          </cell>
          <cell r="L235">
            <v>6140.94</v>
          </cell>
          <cell r="O235">
            <v>32031.55</v>
          </cell>
          <cell r="R235">
            <v>49051.41</v>
          </cell>
          <cell r="U235">
            <v>19142.920000000002</v>
          </cell>
        </row>
        <row r="236">
          <cell r="C236">
            <v>308189.52999999997</v>
          </cell>
          <cell r="F236">
            <v>107635.47999999998</v>
          </cell>
          <cell r="I236">
            <v>179865.33000000002</v>
          </cell>
          <cell r="L236">
            <v>315774.02999999997</v>
          </cell>
          <cell r="O236">
            <v>248886.61</v>
          </cell>
          <cell r="R236">
            <v>304176.27</v>
          </cell>
          <cell r="U236">
            <v>286263.02</v>
          </cell>
        </row>
        <row r="237">
          <cell r="C237">
            <v>334050.23</v>
          </cell>
          <cell r="F237">
            <v>116143.56999999998</v>
          </cell>
          <cell r="I237">
            <v>202157.48</v>
          </cell>
          <cell r="L237">
            <v>321914.96999999997</v>
          </cell>
          <cell r="O237">
            <v>280918.15999999997</v>
          </cell>
          <cell r="R237">
            <v>353227.68000000005</v>
          </cell>
          <cell r="U237">
            <v>305405.94</v>
          </cell>
        </row>
        <row r="254">
          <cell r="C254">
            <v>29251.420000000002</v>
          </cell>
          <cell r="F254">
            <v>38081.930000000008</v>
          </cell>
          <cell r="I254">
            <v>14756.39</v>
          </cell>
          <cell r="L254">
            <v>22495.34</v>
          </cell>
          <cell r="O254">
            <v>21466.97</v>
          </cell>
          <cell r="R254">
            <v>29287.640000000003</v>
          </cell>
          <cell r="U254">
            <v>23022.89</v>
          </cell>
        </row>
        <row r="255">
          <cell r="C255">
            <v>0</v>
          </cell>
          <cell r="F255">
            <v>9073</v>
          </cell>
          <cell r="I255">
            <v>9363.56</v>
          </cell>
          <cell r="L255">
            <v>16092.43</v>
          </cell>
          <cell r="O255">
            <v>16518.27</v>
          </cell>
          <cell r="R255">
            <v>24348.93</v>
          </cell>
          <cell r="U255">
            <v>17982.900000000001</v>
          </cell>
        </row>
        <row r="256">
          <cell r="C256">
            <v>26629.22</v>
          </cell>
          <cell r="F256">
            <v>25746.460000000003</v>
          </cell>
          <cell r="I256">
            <v>3013.35</v>
          </cell>
          <cell r="L256">
            <v>2953.78</v>
          </cell>
          <cell r="O256">
            <v>1193.54</v>
          </cell>
          <cell r="R256">
            <v>213.33</v>
          </cell>
          <cell r="U256">
            <v>0</v>
          </cell>
        </row>
        <row r="257">
          <cell r="C257">
            <v>2622.2000000000003</v>
          </cell>
          <cell r="F257">
            <v>3262.4700000000003</v>
          </cell>
          <cell r="I257">
            <v>2379.48</v>
          </cell>
          <cell r="L257">
            <v>3449.13</v>
          </cell>
          <cell r="O257">
            <v>3755.16</v>
          </cell>
          <cell r="R257">
            <v>4725.38</v>
          </cell>
          <cell r="U257">
            <v>5039.99</v>
          </cell>
        </row>
        <row r="282">
          <cell r="C282">
            <v>77535.310000000012</v>
          </cell>
          <cell r="F282">
            <v>58938.57</v>
          </cell>
          <cell r="I282">
            <v>74702.760000000009</v>
          </cell>
          <cell r="L282">
            <v>97562.59</v>
          </cell>
          <cell r="O282">
            <v>90077.8</v>
          </cell>
          <cell r="R282">
            <v>125336.44</v>
          </cell>
          <cell r="U282">
            <v>122629.47</v>
          </cell>
        </row>
        <row r="290">
          <cell r="C290">
            <v>0</v>
          </cell>
          <cell r="F290">
            <v>0</v>
          </cell>
          <cell r="I290">
            <v>0</v>
          </cell>
          <cell r="L290">
            <v>0</v>
          </cell>
          <cell r="O290">
            <v>0</v>
          </cell>
          <cell r="R290">
            <v>0</v>
          </cell>
          <cell r="U290">
            <v>0</v>
          </cell>
        </row>
        <row r="299">
          <cell r="C299">
            <v>957089.77588752098</v>
          </cell>
          <cell r="F299">
            <v>751088.07204670564</v>
          </cell>
          <cell r="I299">
            <v>896650.02000000014</v>
          </cell>
          <cell r="L299">
            <v>997606.61999999988</v>
          </cell>
          <cell r="O299">
            <v>1006367.46</v>
          </cell>
          <cell r="R299">
            <v>1183412.2127589094</v>
          </cell>
          <cell r="U299">
            <v>1144710.7100000002</v>
          </cell>
        </row>
        <row r="307">
          <cell r="C307">
            <v>182418.86999999994</v>
          </cell>
          <cell r="F307">
            <v>214883.62000000002</v>
          </cell>
          <cell r="I307">
            <v>222620.3600000001</v>
          </cell>
          <cell r="L307">
            <v>234814</v>
          </cell>
          <cell r="O307">
            <v>220778.79000000004</v>
          </cell>
          <cell r="R307">
            <v>235170.44000000003</v>
          </cell>
          <cell r="U307">
            <v>227203.43</v>
          </cell>
        </row>
        <row r="308">
          <cell r="C308">
            <v>446491.78000000009</v>
          </cell>
          <cell r="F308">
            <v>334513.18000000005</v>
          </cell>
          <cell r="I308">
            <v>359719.54999999993</v>
          </cell>
          <cell r="L308">
            <v>397596.75000000006</v>
          </cell>
          <cell r="O308">
            <v>373365.86999999994</v>
          </cell>
          <cell r="R308">
            <v>363834.99000000005</v>
          </cell>
          <cell r="U308">
            <v>277254.1100000001</v>
          </cell>
        </row>
        <row r="311">
          <cell r="C311">
            <v>628910.65</v>
          </cell>
          <cell r="F311">
            <v>549396.80000000005</v>
          </cell>
          <cell r="I311">
            <v>582339.91</v>
          </cell>
          <cell r="L311">
            <v>632410.75</v>
          </cell>
          <cell r="O311">
            <v>594144.65999999992</v>
          </cell>
          <cell r="R311">
            <v>599005.43000000005</v>
          </cell>
          <cell r="U311">
            <v>504457.5400000001</v>
          </cell>
        </row>
        <row r="312">
          <cell r="C312">
            <v>3399</v>
          </cell>
          <cell r="F312">
            <v>2900</v>
          </cell>
          <cell r="I312">
            <v>2981</v>
          </cell>
          <cell r="L312">
            <v>3029</v>
          </cell>
          <cell r="O312">
            <v>2524</v>
          </cell>
          <cell r="R312">
            <v>2673</v>
          </cell>
          <cell r="U312">
            <v>2266</v>
          </cell>
        </row>
        <row r="316">
          <cell r="C316">
            <v>1</v>
          </cell>
          <cell r="F316">
            <v>1</v>
          </cell>
          <cell r="I316">
            <v>1</v>
          </cell>
          <cell r="L316">
            <v>1</v>
          </cell>
          <cell r="O316">
            <v>1</v>
          </cell>
          <cell r="R316">
            <v>1</v>
          </cell>
          <cell r="U316">
            <v>1</v>
          </cell>
        </row>
        <row r="323">
          <cell r="C323">
            <v>80943.180000000008</v>
          </cell>
          <cell r="F323">
            <v>71612.86</v>
          </cell>
          <cell r="I323">
            <v>72946.37000000001</v>
          </cell>
          <cell r="L323">
            <v>75979.94</v>
          </cell>
          <cell r="O323">
            <v>78985.749999999985</v>
          </cell>
          <cell r="R323">
            <v>76595.99000000002</v>
          </cell>
          <cell r="U323">
            <v>79596.280000000013</v>
          </cell>
        </row>
        <row r="324">
          <cell r="C324">
            <v>5305.1208722248239</v>
          </cell>
          <cell r="F324">
            <v>4670.6202640908541</v>
          </cell>
          <cell r="I324">
            <v>4785.5</v>
          </cell>
          <cell r="L324">
            <v>4789.43</v>
          </cell>
          <cell r="O324">
            <v>4670.619999999999</v>
          </cell>
          <cell r="R324">
            <v>4261.0403141075394</v>
          </cell>
          <cell r="U324">
            <v>4146.67</v>
          </cell>
        </row>
        <row r="325">
          <cell r="C325">
            <v>2017.5000000000002</v>
          </cell>
          <cell r="F325">
            <v>0</v>
          </cell>
          <cell r="I325">
            <v>3026.26</v>
          </cell>
          <cell r="L325">
            <v>2145.02</v>
          </cell>
          <cell r="O325">
            <v>9652.6</v>
          </cell>
          <cell r="R325">
            <v>0</v>
          </cell>
          <cell r="U325">
            <v>2353.25</v>
          </cell>
        </row>
        <row r="326">
          <cell r="C326">
            <v>0</v>
          </cell>
          <cell r="F326">
            <v>0</v>
          </cell>
          <cell r="I326">
            <v>0</v>
          </cell>
          <cell r="L326">
            <v>0</v>
          </cell>
          <cell r="O326">
            <v>0</v>
          </cell>
          <cell r="R326">
            <v>0</v>
          </cell>
          <cell r="U326">
            <v>0</v>
          </cell>
        </row>
        <row r="327">
          <cell r="C327">
            <v>0</v>
          </cell>
          <cell r="F327">
            <v>0</v>
          </cell>
          <cell r="I327">
            <v>0</v>
          </cell>
          <cell r="L327">
            <v>0</v>
          </cell>
          <cell r="O327">
            <v>0</v>
          </cell>
          <cell r="R327">
            <v>0</v>
          </cell>
          <cell r="U327">
            <v>0</v>
          </cell>
        </row>
        <row r="328">
          <cell r="C328">
            <v>0</v>
          </cell>
          <cell r="F328">
            <v>0</v>
          </cell>
          <cell r="I328">
            <v>0</v>
          </cell>
          <cell r="L328">
            <v>0</v>
          </cell>
          <cell r="O328">
            <v>0</v>
          </cell>
          <cell r="R328">
            <v>0</v>
          </cell>
          <cell r="U328">
            <v>0</v>
          </cell>
        </row>
        <row r="329">
          <cell r="C329">
            <v>88265.800872224834</v>
          </cell>
          <cell r="F329">
            <v>76283.48026409086</v>
          </cell>
          <cell r="I329">
            <v>80758.13</v>
          </cell>
          <cell r="L329">
            <v>82914.39</v>
          </cell>
          <cell r="O329">
            <v>93308.969999999987</v>
          </cell>
          <cell r="R329">
            <v>80857.030314107556</v>
          </cell>
          <cell r="U329">
            <v>86096.200000000012</v>
          </cell>
        </row>
        <row r="332">
          <cell r="C332">
            <v>52358.489999999991</v>
          </cell>
          <cell r="F332">
            <v>36969.740000000005</v>
          </cell>
          <cell r="I332">
            <v>44211.8</v>
          </cell>
          <cell r="L332">
            <v>50168.83</v>
          </cell>
          <cell r="O332">
            <v>67722.529999999984</v>
          </cell>
          <cell r="R332">
            <v>85353.279999999984</v>
          </cell>
          <cell r="U332">
            <v>32915.069999999992</v>
          </cell>
        </row>
        <row r="333">
          <cell r="C333">
            <v>49591.95</v>
          </cell>
          <cell r="F333">
            <v>50242.86</v>
          </cell>
          <cell r="I333">
            <v>64325.39</v>
          </cell>
          <cell r="L333">
            <v>35815.47</v>
          </cell>
          <cell r="O333">
            <v>96894.51999999999</v>
          </cell>
          <cell r="R333">
            <v>64928.729999999996</v>
          </cell>
          <cell r="U333">
            <v>102731.76</v>
          </cell>
        </row>
        <row r="334">
          <cell r="C334">
            <v>101950.43999999999</v>
          </cell>
          <cell r="F334">
            <v>87212.6</v>
          </cell>
          <cell r="I334">
            <v>108537.19</v>
          </cell>
          <cell r="L334">
            <v>85984.3</v>
          </cell>
          <cell r="O334">
            <v>164617.04999999999</v>
          </cell>
          <cell r="R334">
            <v>150282.00999999998</v>
          </cell>
          <cell r="U334">
            <v>135646.82999999999</v>
          </cell>
        </row>
        <row r="351">
          <cell r="C351">
            <v>1685.7</v>
          </cell>
          <cell r="F351">
            <v>13167.28</v>
          </cell>
          <cell r="I351">
            <v>11348.82</v>
          </cell>
          <cell r="L351">
            <v>14593.980000000001</v>
          </cell>
          <cell r="O351">
            <v>11531.48</v>
          </cell>
          <cell r="R351">
            <v>8184.57</v>
          </cell>
          <cell r="U351">
            <v>12688.85</v>
          </cell>
        </row>
        <row r="352">
          <cell r="C352">
            <v>0</v>
          </cell>
          <cell r="F352">
            <v>11632</v>
          </cell>
          <cell r="I352">
            <v>7145.73</v>
          </cell>
          <cell r="L352">
            <v>9814.19</v>
          </cell>
          <cell r="O352">
            <v>8877.6</v>
          </cell>
          <cell r="R352">
            <v>7112.08</v>
          </cell>
          <cell r="U352">
            <v>10278.42</v>
          </cell>
        </row>
        <row r="353">
          <cell r="C353">
            <v>0</v>
          </cell>
          <cell r="F353">
            <v>0</v>
          </cell>
          <cell r="I353">
            <v>3013.35</v>
          </cell>
          <cell r="L353">
            <v>2953.78</v>
          </cell>
          <cell r="O353">
            <v>1193.54</v>
          </cell>
          <cell r="R353">
            <v>213.33</v>
          </cell>
          <cell r="U353">
            <v>0</v>
          </cell>
        </row>
        <row r="354">
          <cell r="C354">
            <v>1685.7</v>
          </cell>
          <cell r="F354">
            <v>1535.28</v>
          </cell>
          <cell r="I354">
            <v>1189.74</v>
          </cell>
          <cell r="L354">
            <v>1826.01</v>
          </cell>
          <cell r="O354">
            <v>1460.34</v>
          </cell>
          <cell r="R354">
            <v>859.16</v>
          </cell>
          <cell r="U354">
            <v>2410.4299999999998</v>
          </cell>
        </row>
        <row r="379">
          <cell r="C379">
            <v>79075.66</v>
          </cell>
          <cell r="F379">
            <v>65675.039999999994</v>
          </cell>
          <cell r="I379">
            <v>66597.429999999993</v>
          </cell>
          <cell r="L379">
            <v>74083.259999999995</v>
          </cell>
          <cell r="O379">
            <v>69517.490000000005</v>
          </cell>
          <cell r="R379">
            <v>70022.53</v>
          </cell>
          <cell r="U379">
            <v>58932.56</v>
          </cell>
        </row>
        <row r="387">
          <cell r="C387">
            <v>0</v>
          </cell>
          <cell r="F387">
            <v>0</v>
          </cell>
          <cell r="I387">
            <v>0</v>
          </cell>
          <cell r="L387">
            <v>0</v>
          </cell>
          <cell r="O387">
            <v>0</v>
          </cell>
          <cell r="R387">
            <v>0</v>
          </cell>
          <cell r="U387">
            <v>0</v>
          </cell>
        </row>
        <row r="396">
          <cell r="C396">
            <v>346053.91087222483</v>
          </cell>
          <cell r="F396">
            <v>317583.23026409082</v>
          </cell>
          <cell r="I396">
            <v>346676.12</v>
          </cell>
          <cell r="L396">
            <v>341123.65</v>
          </cell>
          <cell r="O396">
            <v>417093.76999999996</v>
          </cell>
          <cell r="R396">
            <v>389472.90031410754</v>
          </cell>
          <cell r="U396">
            <v>377499.42</v>
          </cell>
        </row>
        <row r="405">
          <cell r="C405">
            <v>292743.55999999994</v>
          </cell>
          <cell r="F405">
            <v>264610.2</v>
          </cell>
          <cell r="I405">
            <v>192559.33999999997</v>
          </cell>
          <cell r="L405">
            <v>180886.5</v>
          </cell>
          <cell r="O405">
            <v>177800.88</v>
          </cell>
          <cell r="R405">
            <v>165090.29</v>
          </cell>
          <cell r="U405">
            <v>145517.20000000001</v>
          </cell>
        </row>
        <row r="406">
          <cell r="C406">
            <v>37425.329999999994</v>
          </cell>
          <cell r="F406">
            <v>28291.42</v>
          </cell>
          <cell r="I406">
            <v>25230.82</v>
          </cell>
          <cell r="L406">
            <v>27168.950000000004</v>
          </cell>
          <cell r="O406">
            <v>26675</v>
          </cell>
          <cell r="R406">
            <v>24929.879999999997</v>
          </cell>
          <cell r="U406">
            <v>14570.839999999998</v>
          </cell>
        </row>
        <row r="409">
          <cell r="C409">
            <v>377145.91</v>
          </cell>
          <cell r="F409">
            <v>346354.62</v>
          </cell>
          <cell r="I409">
            <v>232810.58</v>
          </cell>
          <cell r="L409">
            <v>208055.45</v>
          </cell>
          <cell r="O409">
            <v>204475.88</v>
          </cell>
          <cell r="R409">
            <v>190020.17</v>
          </cell>
          <cell r="U409">
            <v>160088.04</v>
          </cell>
        </row>
        <row r="410">
          <cell r="C410">
            <v>636</v>
          </cell>
          <cell r="F410">
            <v>429</v>
          </cell>
          <cell r="I410">
            <v>486</v>
          </cell>
          <cell r="L410">
            <v>546</v>
          </cell>
          <cell r="O410">
            <v>501</v>
          </cell>
          <cell r="R410">
            <v>482</v>
          </cell>
          <cell r="U410">
            <v>384</v>
          </cell>
        </row>
        <row r="415">
          <cell r="I415">
            <v>1</v>
          </cell>
          <cell r="L415">
            <v>1</v>
          </cell>
          <cell r="O415">
            <v>0.87</v>
          </cell>
          <cell r="R415">
            <v>0.96</v>
          </cell>
          <cell r="U415">
            <v>0.9</v>
          </cell>
        </row>
        <row r="421">
          <cell r="C421">
            <v>0</v>
          </cell>
          <cell r="F421">
            <v>0</v>
          </cell>
          <cell r="I421">
            <v>0</v>
          </cell>
          <cell r="L421">
            <v>0</v>
          </cell>
          <cell r="O421">
            <v>0</v>
          </cell>
          <cell r="R421">
            <v>0</v>
          </cell>
          <cell r="U421">
            <v>0</v>
          </cell>
        </row>
        <row r="422">
          <cell r="C422">
            <v>0</v>
          </cell>
          <cell r="F422">
            <v>0</v>
          </cell>
          <cell r="I422">
            <v>0</v>
          </cell>
          <cell r="L422">
            <v>0</v>
          </cell>
          <cell r="O422">
            <v>0</v>
          </cell>
          <cell r="R422">
            <v>0</v>
          </cell>
          <cell r="U422">
            <v>0</v>
          </cell>
        </row>
        <row r="423">
          <cell r="C423">
            <v>0</v>
          </cell>
          <cell r="F423">
            <v>0</v>
          </cell>
          <cell r="I423">
            <v>0</v>
          </cell>
          <cell r="L423">
            <v>0</v>
          </cell>
          <cell r="O423">
            <v>0</v>
          </cell>
          <cell r="R423">
            <v>0</v>
          </cell>
          <cell r="U423">
            <v>0</v>
          </cell>
        </row>
        <row r="424">
          <cell r="C424">
            <v>0</v>
          </cell>
          <cell r="F424">
            <v>0</v>
          </cell>
          <cell r="I424">
            <v>0</v>
          </cell>
          <cell r="L424">
            <v>0</v>
          </cell>
          <cell r="O424">
            <v>0</v>
          </cell>
          <cell r="R424">
            <v>0</v>
          </cell>
          <cell r="U424">
            <v>0</v>
          </cell>
        </row>
        <row r="425">
          <cell r="C425">
            <v>0</v>
          </cell>
          <cell r="F425">
            <v>0</v>
          </cell>
          <cell r="I425">
            <v>159609.70000000001</v>
          </cell>
          <cell r="L425">
            <v>167290.84</v>
          </cell>
          <cell r="O425">
            <v>168808.2</v>
          </cell>
          <cell r="R425">
            <v>150628.09999999998</v>
          </cell>
          <cell r="U425">
            <v>85611.17</v>
          </cell>
        </row>
        <row r="426">
          <cell r="C426">
            <v>0</v>
          </cell>
          <cell r="F426">
            <v>0</v>
          </cell>
          <cell r="I426">
            <v>0</v>
          </cell>
          <cell r="L426">
            <v>0</v>
          </cell>
          <cell r="O426">
            <v>0</v>
          </cell>
          <cell r="R426">
            <v>0</v>
          </cell>
          <cell r="U426">
            <v>96456.25</v>
          </cell>
        </row>
        <row r="427">
          <cell r="C427">
            <v>0</v>
          </cell>
          <cell r="F427">
            <v>0</v>
          </cell>
          <cell r="I427">
            <v>159609.70000000001</v>
          </cell>
          <cell r="L427">
            <v>167290.84</v>
          </cell>
          <cell r="O427">
            <v>168808.2</v>
          </cell>
          <cell r="R427">
            <v>150628.09999999998</v>
          </cell>
          <cell r="U427">
            <v>182067.41999999998</v>
          </cell>
        </row>
        <row r="430">
          <cell r="C430">
            <v>21877.66</v>
          </cell>
          <cell r="F430">
            <v>0</v>
          </cell>
          <cell r="I430">
            <v>102241.74</v>
          </cell>
          <cell r="L430">
            <v>81296.490000000005</v>
          </cell>
          <cell r="O430">
            <v>71833.929999999993</v>
          </cell>
          <cell r="R430">
            <v>99651.16</v>
          </cell>
          <cell r="U430">
            <v>92330.489999999991</v>
          </cell>
        </row>
        <row r="431">
          <cell r="C431">
            <v>10280.439999999999</v>
          </cell>
          <cell r="F431">
            <v>0</v>
          </cell>
          <cell r="I431">
            <v>8248.83</v>
          </cell>
          <cell r="L431">
            <v>18395.78</v>
          </cell>
          <cell r="O431">
            <v>13101.18</v>
          </cell>
          <cell r="R431">
            <v>14565.15</v>
          </cell>
          <cell r="U431">
            <v>9397.43</v>
          </cell>
        </row>
        <row r="432">
          <cell r="C432">
            <v>32158.1</v>
          </cell>
          <cell r="F432">
            <v>0</v>
          </cell>
          <cell r="I432">
            <v>110490.57</v>
          </cell>
          <cell r="L432">
            <v>99692.27</v>
          </cell>
          <cell r="O432">
            <v>84935.109999999986</v>
          </cell>
          <cell r="R432">
            <v>114216.31</v>
          </cell>
          <cell r="U432">
            <v>101727.91999999998</v>
          </cell>
        </row>
        <row r="449">
          <cell r="C449">
            <v>0</v>
          </cell>
          <cell r="F449">
            <v>0</v>
          </cell>
          <cell r="I449">
            <v>12694.91</v>
          </cell>
          <cell r="L449">
            <v>21084.29</v>
          </cell>
          <cell r="O449">
            <v>18401.84</v>
          </cell>
          <cell r="R449">
            <v>15329.560000000001</v>
          </cell>
          <cell r="U449">
            <v>21634.76</v>
          </cell>
        </row>
        <row r="450">
          <cell r="C450">
            <v>0</v>
          </cell>
          <cell r="F450">
            <v>0</v>
          </cell>
          <cell r="I450">
            <v>9019.93</v>
          </cell>
          <cell r="L450">
            <v>16489.47</v>
          </cell>
          <cell r="O450">
            <v>14869.25</v>
          </cell>
          <cell r="R450">
            <v>12606.810000000001</v>
          </cell>
          <cell r="U450">
            <v>18677.57</v>
          </cell>
        </row>
        <row r="451">
          <cell r="C451">
            <v>0</v>
          </cell>
          <cell r="F451">
            <v>0</v>
          </cell>
          <cell r="I451">
            <v>3233.62</v>
          </cell>
          <cell r="L451">
            <v>3580.3700000000003</v>
          </cell>
          <cell r="O451">
            <v>1863.63</v>
          </cell>
          <cell r="R451">
            <v>1004.4300000000001</v>
          </cell>
          <cell r="U451">
            <v>1423.28</v>
          </cell>
        </row>
        <row r="452">
          <cell r="C452">
            <v>0</v>
          </cell>
          <cell r="F452">
            <v>0</v>
          </cell>
          <cell r="I452">
            <v>441.36</v>
          </cell>
          <cell r="L452">
            <v>1014.45</v>
          </cell>
          <cell r="O452">
            <v>1668.96</v>
          </cell>
          <cell r="R452">
            <v>1718.32</v>
          </cell>
          <cell r="U452">
            <v>1533.91</v>
          </cell>
        </row>
        <row r="477">
          <cell r="C477">
            <v>40931.629999999997</v>
          </cell>
          <cell r="F477">
            <v>34428.97</v>
          </cell>
          <cell r="I477">
            <v>25575.759999999998</v>
          </cell>
          <cell r="L477">
            <v>24541.59</v>
          </cell>
          <cell r="O477">
            <v>23546.42</v>
          </cell>
          <cell r="R477">
            <v>22398.05</v>
          </cell>
          <cell r="U477">
            <v>19104.88</v>
          </cell>
        </row>
        <row r="485">
          <cell r="C485">
            <v>0</v>
          </cell>
          <cell r="F485">
            <v>0</v>
          </cell>
          <cell r="I485">
            <v>0</v>
          </cell>
          <cell r="L485">
            <v>0</v>
          </cell>
          <cell r="O485">
            <v>0</v>
          </cell>
          <cell r="R485">
            <v>0</v>
          </cell>
          <cell r="U485">
            <v>0</v>
          </cell>
        </row>
        <row r="494">
          <cell r="C494">
            <v>309842.33</v>
          </cell>
          <cell r="F494">
            <v>304344.95000000007</v>
          </cell>
          <cell r="I494">
            <v>411790.73</v>
          </cell>
          <cell r="L494">
            <v>361340.08999999997</v>
          </cell>
          <cell r="O494">
            <v>344866.36</v>
          </cell>
          <cell r="R494">
            <v>350237.25</v>
          </cell>
          <cell r="U494">
            <v>428739.19999999995</v>
          </cell>
        </row>
        <row r="503">
          <cell r="C503">
            <v>0</v>
          </cell>
          <cell r="F503">
            <v>0</v>
          </cell>
          <cell r="I503">
            <v>0</v>
          </cell>
          <cell r="L503">
            <v>0</v>
          </cell>
          <cell r="O503">
            <v>342988.64</v>
          </cell>
          <cell r="R503">
            <v>138221.04</v>
          </cell>
          <cell r="U503">
            <v>0</v>
          </cell>
        </row>
        <row r="504">
          <cell r="C504">
            <v>0</v>
          </cell>
          <cell r="F504">
            <v>0</v>
          </cell>
          <cell r="I504">
            <v>0</v>
          </cell>
          <cell r="L504">
            <v>0</v>
          </cell>
          <cell r="O504">
            <v>600478.33000000007</v>
          </cell>
          <cell r="R504">
            <v>80831.839999999997</v>
          </cell>
          <cell r="U504">
            <v>20583.330000000002</v>
          </cell>
        </row>
        <row r="507">
          <cell r="C507">
            <v>0</v>
          </cell>
          <cell r="F507">
            <v>0</v>
          </cell>
          <cell r="I507">
            <v>0</v>
          </cell>
          <cell r="L507">
            <v>0</v>
          </cell>
          <cell r="O507">
            <v>943466.97</v>
          </cell>
          <cell r="R507">
            <v>219052.88</v>
          </cell>
          <cell r="U507">
            <v>20583.330000000002</v>
          </cell>
        </row>
        <row r="513">
          <cell r="O513">
            <v>0.76</v>
          </cell>
        </row>
        <row r="519">
          <cell r="C519">
            <v>0</v>
          </cell>
          <cell r="F519">
            <v>0</v>
          </cell>
          <cell r="I519">
            <v>0</v>
          </cell>
          <cell r="L519">
            <v>0</v>
          </cell>
          <cell r="O519">
            <v>0</v>
          </cell>
          <cell r="R519">
            <v>0</v>
          </cell>
          <cell r="U519">
            <v>0</v>
          </cell>
          <cell r="X519">
            <v>0</v>
          </cell>
          <cell r="AA519">
            <v>0</v>
          </cell>
          <cell r="AD519">
            <v>0</v>
          </cell>
          <cell r="AG519">
            <v>0</v>
          </cell>
          <cell r="AJ519">
            <v>0</v>
          </cell>
        </row>
        <row r="520">
          <cell r="C520">
            <v>0</v>
          </cell>
          <cell r="F520">
            <v>0</v>
          </cell>
          <cell r="I520">
            <v>0</v>
          </cell>
          <cell r="L520">
            <v>0</v>
          </cell>
          <cell r="O520">
            <v>0</v>
          </cell>
          <cell r="R520">
            <v>0</v>
          </cell>
          <cell r="U520">
            <v>0</v>
          </cell>
          <cell r="X520">
            <v>0</v>
          </cell>
          <cell r="AA520">
            <v>0</v>
          </cell>
          <cell r="AD520">
            <v>0</v>
          </cell>
          <cell r="AG520">
            <v>0</v>
          </cell>
          <cell r="AJ520">
            <v>0</v>
          </cell>
        </row>
        <row r="521">
          <cell r="C521">
            <v>0</v>
          </cell>
          <cell r="F521">
            <v>0</v>
          </cell>
          <cell r="I521">
            <v>0</v>
          </cell>
          <cell r="L521">
            <v>0</v>
          </cell>
          <cell r="O521">
            <v>0</v>
          </cell>
          <cell r="R521">
            <v>0</v>
          </cell>
          <cell r="U521">
            <v>0</v>
          </cell>
          <cell r="X521">
            <v>0</v>
          </cell>
          <cell r="AA521">
            <v>0</v>
          </cell>
          <cell r="AD521">
            <v>0</v>
          </cell>
          <cell r="AG521">
            <v>0</v>
          </cell>
          <cell r="AJ521">
            <v>0</v>
          </cell>
        </row>
        <row r="522">
          <cell r="C522">
            <v>0</v>
          </cell>
          <cell r="F522">
            <v>0</v>
          </cell>
          <cell r="I522">
            <v>0</v>
          </cell>
          <cell r="L522">
            <v>0</v>
          </cell>
          <cell r="O522">
            <v>0</v>
          </cell>
          <cell r="R522">
            <v>0</v>
          </cell>
          <cell r="U522">
            <v>0</v>
          </cell>
          <cell r="X522">
            <v>0</v>
          </cell>
          <cell r="AA522">
            <v>0</v>
          </cell>
          <cell r="AD522">
            <v>0</v>
          </cell>
          <cell r="AG522">
            <v>0</v>
          </cell>
          <cell r="AJ522">
            <v>0</v>
          </cell>
        </row>
        <row r="523">
          <cell r="C523">
            <v>0</v>
          </cell>
          <cell r="F523">
            <v>0</v>
          </cell>
          <cell r="I523">
            <v>0</v>
          </cell>
          <cell r="L523">
            <v>0</v>
          </cell>
          <cell r="O523">
            <v>94903.93</v>
          </cell>
          <cell r="R523">
            <v>0</v>
          </cell>
          <cell r="U523">
            <v>0</v>
          </cell>
          <cell r="X523">
            <v>0</v>
          </cell>
          <cell r="AA523">
            <v>0</v>
          </cell>
          <cell r="AD523">
            <v>0</v>
          </cell>
          <cell r="AG523">
            <v>0</v>
          </cell>
          <cell r="AJ523">
            <v>0</v>
          </cell>
        </row>
        <row r="524">
          <cell r="C524">
            <v>0</v>
          </cell>
          <cell r="F524">
            <v>0</v>
          </cell>
          <cell r="I524">
            <v>0</v>
          </cell>
          <cell r="L524">
            <v>0</v>
          </cell>
          <cell r="O524">
            <v>0</v>
          </cell>
          <cell r="R524">
            <v>0</v>
          </cell>
          <cell r="U524">
            <v>112734.38</v>
          </cell>
          <cell r="X524">
            <v>0</v>
          </cell>
          <cell r="AA524">
            <v>0</v>
          </cell>
          <cell r="AD524">
            <v>0</v>
          </cell>
          <cell r="AG524">
            <v>0</v>
          </cell>
          <cell r="AJ524">
            <v>0</v>
          </cell>
        </row>
        <row r="525">
          <cell r="C525">
            <v>0</v>
          </cell>
          <cell r="F525">
            <v>0</v>
          </cell>
          <cell r="I525">
            <v>0</v>
          </cell>
          <cell r="L525">
            <v>0</v>
          </cell>
          <cell r="O525">
            <v>94903.93</v>
          </cell>
          <cell r="R525">
            <v>0</v>
          </cell>
          <cell r="U525">
            <v>112734.38</v>
          </cell>
          <cell r="X525">
            <v>0</v>
          </cell>
          <cell r="AA525">
            <v>0</v>
          </cell>
          <cell r="AD525">
            <v>0</v>
          </cell>
          <cell r="AG525">
            <v>0</v>
          </cell>
          <cell r="AJ525">
            <v>0</v>
          </cell>
        </row>
        <row r="528">
          <cell r="C528">
            <v>0</v>
          </cell>
          <cell r="F528">
            <v>0</v>
          </cell>
          <cell r="I528">
            <v>0</v>
          </cell>
          <cell r="L528">
            <v>0</v>
          </cell>
          <cell r="O528">
            <v>165060.89000000001</v>
          </cell>
          <cell r="R528">
            <v>23128.3</v>
          </cell>
          <cell r="U528">
            <v>0</v>
          </cell>
          <cell r="X528">
            <v>0</v>
          </cell>
          <cell r="AA528">
            <v>0</v>
          </cell>
          <cell r="AD528">
            <v>0</v>
          </cell>
          <cell r="AG528">
            <v>0</v>
          </cell>
          <cell r="AJ528">
            <v>0</v>
          </cell>
        </row>
        <row r="529">
          <cell r="C529">
            <v>0</v>
          </cell>
          <cell r="F529">
            <v>0</v>
          </cell>
          <cell r="I529">
            <v>0</v>
          </cell>
          <cell r="L529">
            <v>0</v>
          </cell>
          <cell r="O529">
            <v>60819.95</v>
          </cell>
          <cell r="R529">
            <v>7329.97</v>
          </cell>
          <cell r="U529">
            <v>0</v>
          </cell>
          <cell r="X529">
            <v>0</v>
          </cell>
          <cell r="AA529">
            <v>0</v>
          </cell>
          <cell r="AD529">
            <v>0</v>
          </cell>
          <cell r="AG529">
            <v>0</v>
          </cell>
          <cell r="AJ529">
            <v>0</v>
          </cell>
        </row>
        <row r="530">
          <cell r="C530">
            <v>0</v>
          </cell>
          <cell r="F530">
            <v>0</v>
          </cell>
          <cell r="I530">
            <v>0</v>
          </cell>
          <cell r="L530">
            <v>0</v>
          </cell>
          <cell r="O530">
            <v>225880.84000000003</v>
          </cell>
          <cell r="R530">
            <v>30458.27</v>
          </cell>
          <cell r="U530">
            <v>0</v>
          </cell>
          <cell r="X530">
            <v>0</v>
          </cell>
          <cell r="AA530">
            <v>0</v>
          </cell>
          <cell r="AD530">
            <v>0</v>
          </cell>
          <cell r="AG530">
            <v>0</v>
          </cell>
          <cell r="AJ530">
            <v>0</v>
          </cell>
        </row>
        <row r="547">
          <cell r="C547">
            <v>0</v>
          </cell>
          <cell r="F547">
            <v>0</v>
          </cell>
          <cell r="I547">
            <v>0</v>
          </cell>
          <cell r="L547">
            <v>0</v>
          </cell>
          <cell r="O547">
            <v>0</v>
          </cell>
          <cell r="R547">
            <v>0</v>
          </cell>
          <cell r="U547">
            <v>0</v>
          </cell>
          <cell r="X547">
            <v>0</v>
          </cell>
          <cell r="AA547">
            <v>0</v>
          </cell>
          <cell r="AD547">
            <v>0</v>
          </cell>
          <cell r="AG547">
            <v>0</v>
          </cell>
          <cell r="AJ547">
            <v>0</v>
          </cell>
        </row>
        <row r="548">
          <cell r="C548">
            <v>0</v>
          </cell>
          <cell r="F548">
            <v>0</v>
          </cell>
          <cell r="I548">
            <v>0</v>
          </cell>
          <cell r="L548">
            <v>0</v>
          </cell>
          <cell r="O548">
            <v>0</v>
          </cell>
          <cell r="R548">
            <v>0</v>
          </cell>
          <cell r="U548">
            <v>0</v>
          </cell>
          <cell r="X548">
            <v>0</v>
          </cell>
          <cell r="AA548">
            <v>0</v>
          </cell>
          <cell r="AD548">
            <v>0</v>
          </cell>
          <cell r="AG548">
            <v>0</v>
          </cell>
          <cell r="AJ548">
            <v>0</v>
          </cell>
        </row>
        <row r="549">
          <cell r="C549">
            <v>0</v>
          </cell>
          <cell r="F549">
            <v>0</v>
          </cell>
          <cell r="I549">
            <v>0</v>
          </cell>
          <cell r="L549">
            <v>0</v>
          </cell>
          <cell r="O549">
            <v>0</v>
          </cell>
          <cell r="R549">
            <v>0</v>
          </cell>
          <cell r="U549">
            <v>0</v>
          </cell>
          <cell r="X549">
            <v>0</v>
          </cell>
          <cell r="AA549">
            <v>0</v>
          </cell>
          <cell r="AD549">
            <v>0</v>
          </cell>
          <cell r="AG549">
            <v>0</v>
          </cell>
          <cell r="AJ549">
            <v>0</v>
          </cell>
        </row>
        <row r="550">
          <cell r="C550">
            <v>0</v>
          </cell>
          <cell r="F550">
            <v>0</v>
          </cell>
          <cell r="I550">
            <v>0</v>
          </cell>
          <cell r="L550">
            <v>0</v>
          </cell>
          <cell r="O550">
            <v>0</v>
          </cell>
          <cell r="R550">
            <v>0</v>
          </cell>
          <cell r="U550">
            <v>0</v>
          </cell>
          <cell r="X550">
            <v>0</v>
          </cell>
          <cell r="AA550">
            <v>0</v>
          </cell>
          <cell r="AD550">
            <v>0</v>
          </cell>
          <cell r="AG550">
            <v>0</v>
          </cell>
          <cell r="AJ550">
            <v>0</v>
          </cell>
        </row>
        <row r="575">
          <cell r="C575">
            <v>0</v>
          </cell>
          <cell r="F575">
            <v>0</v>
          </cell>
          <cell r="I575">
            <v>0</v>
          </cell>
          <cell r="L575">
            <v>0</v>
          </cell>
          <cell r="O575">
            <v>110665.49</v>
          </cell>
          <cell r="R575">
            <v>31796.51</v>
          </cell>
          <cell r="U575">
            <v>2413.7800000000002</v>
          </cell>
          <cell r="X575">
            <v>0</v>
          </cell>
          <cell r="AA575">
            <v>0</v>
          </cell>
          <cell r="AD575">
            <v>0</v>
          </cell>
          <cell r="AG575">
            <v>0</v>
          </cell>
          <cell r="AJ575">
            <v>0</v>
          </cell>
        </row>
        <row r="583">
          <cell r="C583">
            <v>0</v>
          </cell>
          <cell r="F583">
            <v>0</v>
          </cell>
          <cell r="I583">
            <v>0</v>
          </cell>
          <cell r="L583">
            <v>0</v>
          </cell>
          <cell r="O583">
            <v>0</v>
          </cell>
          <cell r="R583">
            <v>0</v>
          </cell>
          <cell r="U583">
            <v>0</v>
          </cell>
          <cell r="X583">
            <v>0</v>
          </cell>
          <cell r="AA583">
            <v>0</v>
          </cell>
          <cell r="AD583">
            <v>0</v>
          </cell>
          <cell r="AG583">
            <v>0</v>
          </cell>
          <cell r="AJ583">
            <v>0</v>
          </cell>
        </row>
        <row r="592">
          <cell r="C592">
            <v>0</v>
          </cell>
          <cell r="F592">
            <v>0</v>
          </cell>
          <cell r="I592">
            <v>0</v>
          </cell>
          <cell r="L592">
            <v>0</v>
          </cell>
          <cell r="O592">
            <v>431450.26</v>
          </cell>
          <cell r="R592">
            <v>62254.78</v>
          </cell>
          <cell r="U592">
            <v>116888.16</v>
          </cell>
          <cell r="X592">
            <v>0</v>
          </cell>
          <cell r="AA592">
            <v>0</v>
          </cell>
          <cell r="AD592">
            <v>0</v>
          </cell>
          <cell r="AG592">
            <v>0</v>
          </cell>
          <cell r="AJ592">
            <v>0</v>
          </cell>
        </row>
        <row r="601">
          <cell r="C601">
            <v>7617674.2200000007</v>
          </cell>
          <cell r="F601">
            <v>6422662.0899999999</v>
          </cell>
          <cell r="I601">
            <v>7363074.6299999999</v>
          </cell>
          <cell r="L601">
            <v>7998201.8600000003</v>
          </cell>
          <cell r="O601">
            <v>7003217.1300000008</v>
          </cell>
          <cell r="R601">
            <v>7159910.9199999999</v>
          </cell>
          <cell r="U601">
            <v>5985613.0799999991</v>
          </cell>
        </row>
        <row r="602">
          <cell r="C602">
            <v>724061.03</v>
          </cell>
          <cell r="F602">
            <v>529505.4</v>
          </cell>
          <cell r="I602">
            <v>567346.39</v>
          </cell>
          <cell r="L602">
            <v>616306.16999999993</v>
          </cell>
          <cell r="O602">
            <v>562830.3600000001</v>
          </cell>
          <cell r="R602">
            <v>507155.09999999992</v>
          </cell>
          <cell r="U602">
            <v>389839.33</v>
          </cell>
        </row>
        <row r="605">
          <cell r="C605">
            <v>9942061.25</v>
          </cell>
          <cell r="F605">
            <v>8173222.6199999992</v>
          </cell>
          <cell r="I605">
            <v>9359615.1699999999</v>
          </cell>
          <cell r="L605">
            <v>10062678.369999999</v>
          </cell>
          <cell r="O605">
            <v>9059372.9199999999</v>
          </cell>
          <cell r="R605">
            <v>9034373.8200000003</v>
          </cell>
          <cell r="U605">
            <v>7536046.6199999992</v>
          </cell>
        </row>
        <row r="606">
          <cell r="C606">
            <v>12385</v>
          </cell>
          <cell r="F606">
            <v>10255</v>
          </cell>
          <cell r="I606">
            <v>10896</v>
          </cell>
          <cell r="L606">
            <v>12171</v>
          </cell>
          <cell r="O606">
            <v>10443</v>
          </cell>
          <cell r="R606">
            <v>10940</v>
          </cell>
          <cell r="U606">
            <v>9482</v>
          </cell>
        </row>
        <row r="617">
          <cell r="C617">
            <v>0</v>
          </cell>
          <cell r="F617">
            <v>0</v>
          </cell>
          <cell r="I617">
            <v>0</v>
          </cell>
          <cell r="L617">
            <v>0</v>
          </cell>
          <cell r="O617">
            <v>0</v>
          </cell>
          <cell r="R617">
            <v>0</v>
          </cell>
          <cell r="U617">
            <v>0</v>
          </cell>
        </row>
        <row r="618">
          <cell r="C618">
            <v>0</v>
          </cell>
          <cell r="F618">
            <v>0</v>
          </cell>
          <cell r="I618">
            <v>0</v>
          </cell>
          <cell r="L618">
            <v>0</v>
          </cell>
          <cell r="O618">
            <v>0</v>
          </cell>
          <cell r="R618">
            <v>0</v>
          </cell>
          <cell r="U618">
            <v>0</v>
          </cell>
        </row>
        <row r="619">
          <cell r="C619">
            <v>0</v>
          </cell>
          <cell r="F619">
            <v>0</v>
          </cell>
          <cell r="I619">
            <v>0</v>
          </cell>
          <cell r="L619">
            <v>0</v>
          </cell>
          <cell r="O619">
            <v>0</v>
          </cell>
          <cell r="R619">
            <v>0</v>
          </cell>
          <cell r="U619">
            <v>0</v>
          </cell>
        </row>
        <row r="620">
          <cell r="C620">
            <v>0</v>
          </cell>
          <cell r="F620">
            <v>0</v>
          </cell>
          <cell r="I620">
            <v>0</v>
          </cell>
          <cell r="L620">
            <v>0</v>
          </cell>
          <cell r="O620">
            <v>0</v>
          </cell>
          <cell r="R620">
            <v>0</v>
          </cell>
          <cell r="U620">
            <v>0</v>
          </cell>
        </row>
        <row r="621">
          <cell r="C621">
            <v>0</v>
          </cell>
          <cell r="F621">
            <v>0</v>
          </cell>
          <cell r="I621">
            <v>0</v>
          </cell>
          <cell r="L621">
            <v>0</v>
          </cell>
          <cell r="O621">
            <v>0</v>
          </cell>
          <cell r="R621">
            <v>0</v>
          </cell>
          <cell r="U621">
            <v>0</v>
          </cell>
        </row>
        <row r="622">
          <cell r="C622">
            <v>0</v>
          </cell>
          <cell r="F622">
            <v>0</v>
          </cell>
          <cell r="I622">
            <v>0</v>
          </cell>
          <cell r="L622">
            <v>0</v>
          </cell>
          <cell r="O622">
            <v>0</v>
          </cell>
          <cell r="R622">
            <v>0</v>
          </cell>
          <cell r="U622">
            <v>0</v>
          </cell>
        </row>
        <row r="623">
          <cell r="C623">
            <v>0</v>
          </cell>
          <cell r="F623">
            <v>0</v>
          </cell>
          <cell r="I623">
            <v>0</v>
          </cell>
          <cell r="L623">
            <v>0</v>
          </cell>
          <cell r="O623">
            <v>0</v>
          </cell>
          <cell r="R623">
            <v>0</v>
          </cell>
          <cell r="U623">
            <v>0</v>
          </cell>
        </row>
        <row r="626">
          <cell r="C626">
            <v>0</v>
          </cell>
          <cell r="F626">
            <v>0</v>
          </cell>
          <cell r="I626">
            <v>0</v>
          </cell>
          <cell r="L626">
            <v>0</v>
          </cell>
          <cell r="O626">
            <v>0</v>
          </cell>
          <cell r="R626">
            <v>0</v>
          </cell>
          <cell r="U626">
            <v>0</v>
          </cell>
        </row>
        <row r="627">
          <cell r="C627">
            <v>99798.62</v>
          </cell>
          <cell r="F627">
            <v>63657.17</v>
          </cell>
          <cell r="I627">
            <v>63606.130000000005</v>
          </cell>
          <cell r="L627">
            <v>81336.210000000006</v>
          </cell>
          <cell r="O627">
            <v>61574.499999999993</v>
          </cell>
          <cell r="R627">
            <v>60458.73</v>
          </cell>
          <cell r="U627">
            <v>31638.880000000001</v>
          </cell>
        </row>
        <row r="628">
          <cell r="C628">
            <v>99798.62</v>
          </cell>
          <cell r="F628">
            <v>63657.17</v>
          </cell>
          <cell r="I628">
            <v>63606.130000000005</v>
          </cell>
          <cell r="L628">
            <v>81336.210000000006</v>
          </cell>
          <cell r="O628">
            <v>61574.499999999993</v>
          </cell>
          <cell r="R628">
            <v>60458.73</v>
          </cell>
          <cell r="U628">
            <v>31638.880000000001</v>
          </cell>
        </row>
        <row r="645">
          <cell r="C645">
            <v>0</v>
          </cell>
          <cell r="F645">
            <v>0</v>
          </cell>
          <cell r="I645">
            <v>0</v>
          </cell>
          <cell r="L645">
            <v>0</v>
          </cell>
          <cell r="O645">
            <v>0</v>
          </cell>
          <cell r="R645">
            <v>0</v>
          </cell>
          <cell r="U645">
            <v>0</v>
          </cell>
        </row>
        <row r="646">
          <cell r="C646">
            <v>0</v>
          </cell>
          <cell r="F646">
            <v>0</v>
          </cell>
          <cell r="I646">
            <v>0</v>
          </cell>
          <cell r="L646">
            <v>0</v>
          </cell>
          <cell r="O646">
            <v>0</v>
          </cell>
          <cell r="R646">
            <v>0</v>
          </cell>
          <cell r="U646">
            <v>0</v>
          </cell>
        </row>
        <row r="647">
          <cell r="C647">
            <v>0</v>
          </cell>
          <cell r="F647">
            <v>0</v>
          </cell>
          <cell r="I647">
            <v>0</v>
          </cell>
          <cell r="L647">
            <v>0</v>
          </cell>
          <cell r="O647">
            <v>0</v>
          </cell>
          <cell r="R647">
            <v>0</v>
          </cell>
          <cell r="U647">
            <v>0</v>
          </cell>
        </row>
        <row r="648">
          <cell r="C648">
            <v>0</v>
          </cell>
          <cell r="F648">
            <v>0</v>
          </cell>
          <cell r="I648">
            <v>0</v>
          </cell>
          <cell r="L648">
            <v>0</v>
          </cell>
          <cell r="O648">
            <v>0</v>
          </cell>
          <cell r="R648">
            <v>0</v>
          </cell>
          <cell r="U648">
            <v>0</v>
          </cell>
        </row>
        <row r="673">
          <cell r="C673">
            <v>1139081.3999999999</v>
          </cell>
          <cell r="F673">
            <v>890600.87</v>
          </cell>
          <cell r="I673">
            <v>988543.05999999994</v>
          </cell>
          <cell r="L673">
            <v>1088052.27</v>
          </cell>
          <cell r="O673">
            <v>940501.22</v>
          </cell>
          <cell r="R673">
            <v>955013.16</v>
          </cell>
          <cell r="U673">
            <v>797027.49000000011</v>
          </cell>
        </row>
        <row r="681">
          <cell r="C681">
            <v>0</v>
          </cell>
          <cell r="F681">
            <v>0</v>
          </cell>
          <cell r="I681">
            <v>0</v>
          </cell>
          <cell r="L681">
            <v>0</v>
          </cell>
          <cell r="O681">
            <v>0</v>
          </cell>
          <cell r="R681">
            <v>0</v>
          </cell>
          <cell r="U681">
            <v>0</v>
          </cell>
        </row>
        <row r="690">
          <cell r="C690">
            <v>8917522.7499999981</v>
          </cell>
          <cell r="F690">
            <v>7285117.4500000011</v>
          </cell>
          <cell r="I690">
            <v>8073118.5000000009</v>
          </cell>
          <cell r="L690">
            <v>9022620.3000000007</v>
          </cell>
          <cell r="O690">
            <v>7952978.3999999994</v>
          </cell>
          <cell r="R690">
            <v>8066339.7200000007</v>
          </cell>
          <cell r="U690">
            <v>6729416.7300000004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0B5C-6177-4725-A899-20EC566B3618}">
  <dimension ref="A1:AO583"/>
  <sheetViews>
    <sheetView showGridLines="0" tabSelected="1" zoomScale="80" zoomScaleNormal="80" workbookViewId="0">
      <pane ySplit="6" topLeftCell="A7" activePane="bottomLeft" state="frozen"/>
      <selection pane="bottomLeft" activeCell="C591" sqref="C591"/>
    </sheetView>
  </sheetViews>
  <sheetFormatPr defaultRowHeight="15" x14ac:dyDescent="0.25"/>
  <cols>
    <col min="1" max="1" width="15.85546875" customWidth="1"/>
    <col min="2" max="2" width="17.28515625" bestFit="1" customWidth="1"/>
    <col min="3" max="3" width="82" bestFit="1" customWidth="1"/>
    <col min="4" max="4" width="5.7109375" bestFit="1" customWidth="1"/>
    <col min="5" max="5" width="14.42578125" customWidth="1"/>
    <col min="6" max="6" width="5.28515625" hidden="1" customWidth="1"/>
    <col min="7" max="7" width="0" hidden="1" customWidth="1"/>
    <col min="8" max="8" width="13.28515625" customWidth="1"/>
    <col min="9" max="9" width="6" hidden="1" customWidth="1"/>
    <col min="10" max="10" width="0" hidden="1" customWidth="1"/>
    <col min="11" max="11" width="13.28515625" customWidth="1"/>
    <col min="12" max="12" width="5.140625" hidden="1" customWidth="1"/>
    <col min="13" max="13" width="0" hidden="1" customWidth="1"/>
    <col min="14" max="14" width="13.28515625" customWidth="1"/>
    <col min="15" max="15" width="6" hidden="1" customWidth="1"/>
    <col min="16" max="16" width="0" hidden="1" customWidth="1"/>
    <col min="17" max="17" width="13.28515625" customWidth="1"/>
    <col min="18" max="18" width="2" hidden="1" customWidth="1"/>
    <col min="19" max="19" width="0" hidden="1" customWidth="1"/>
    <col min="20" max="20" width="13.28515625" customWidth="1"/>
    <col min="21" max="21" width="2" hidden="1" customWidth="1"/>
    <col min="22" max="22" width="0" hidden="1" customWidth="1"/>
    <col min="23" max="23" width="13.28515625" customWidth="1"/>
    <col min="24" max="24" width="2" hidden="1" customWidth="1"/>
    <col min="25" max="25" width="0" hidden="1" customWidth="1"/>
    <col min="26" max="26" width="13.28515625" customWidth="1"/>
    <col min="27" max="27" width="2" hidden="1" customWidth="1"/>
    <col min="28" max="28" width="0" hidden="1" customWidth="1"/>
    <col min="29" max="29" width="13.28515625" customWidth="1"/>
    <col min="30" max="30" width="2" hidden="1" customWidth="1"/>
    <col min="31" max="31" width="0" hidden="1" customWidth="1"/>
    <col min="32" max="32" width="13.28515625" customWidth="1"/>
    <col min="33" max="33" width="3" hidden="1" customWidth="1"/>
    <col min="34" max="34" width="0" hidden="1" customWidth="1"/>
    <col min="35" max="35" width="13.28515625" customWidth="1"/>
    <col min="36" max="36" width="3" hidden="1" customWidth="1"/>
    <col min="37" max="37" width="0" hidden="1" customWidth="1"/>
    <col min="38" max="38" width="13.28515625" customWidth="1"/>
    <col min="40" max="40" width="15.42578125" bestFit="1" customWidth="1"/>
  </cols>
  <sheetData>
    <row r="1" spans="1:41" x14ac:dyDescent="0.25">
      <c r="D1" s="1"/>
    </row>
    <row r="2" spans="1:41" x14ac:dyDescent="0.25">
      <c r="D2" s="1"/>
    </row>
    <row r="3" spans="1:41" ht="17.25" x14ac:dyDescent="0.3">
      <c r="A3" s="2" t="s">
        <v>0</v>
      </c>
      <c r="D3" s="1"/>
    </row>
    <row r="4" spans="1:41" x14ac:dyDescent="0.25">
      <c r="C4" s="3"/>
      <c r="D4" s="1"/>
    </row>
    <row r="5" spans="1:41" x14ac:dyDescent="0.25">
      <c r="C5" s="4"/>
      <c r="D5" s="1"/>
      <c r="E5" s="1">
        <v>1</v>
      </c>
      <c r="F5" s="1"/>
      <c r="G5" s="1"/>
      <c r="H5" s="1">
        <v>2</v>
      </c>
      <c r="I5" s="1"/>
      <c r="J5" s="1"/>
      <c r="K5" s="1">
        <v>3</v>
      </c>
      <c r="L5" s="1"/>
      <c r="M5" s="1"/>
      <c r="N5" s="1">
        <v>4</v>
      </c>
      <c r="O5" s="1"/>
      <c r="P5" s="1"/>
      <c r="Q5" s="1">
        <v>5</v>
      </c>
      <c r="R5" s="1"/>
      <c r="S5" s="1"/>
      <c r="T5" s="1">
        <v>6</v>
      </c>
      <c r="U5" s="1"/>
      <c r="V5" s="1"/>
      <c r="W5" s="1">
        <v>7</v>
      </c>
      <c r="X5" s="1"/>
      <c r="Y5" s="1"/>
      <c r="Z5" s="1">
        <v>8</v>
      </c>
      <c r="AA5" s="1"/>
      <c r="AB5" s="1"/>
      <c r="AC5" s="1">
        <v>9</v>
      </c>
      <c r="AD5" s="1"/>
      <c r="AE5" s="1"/>
      <c r="AF5" s="1">
        <v>10</v>
      </c>
      <c r="AG5" s="1"/>
      <c r="AH5" s="1"/>
      <c r="AI5" s="1">
        <v>11</v>
      </c>
      <c r="AJ5" s="1"/>
      <c r="AK5" s="1"/>
      <c r="AL5" s="1">
        <v>12</v>
      </c>
    </row>
    <row r="6" spans="1:41" x14ac:dyDescent="0.25">
      <c r="A6" s="135" t="s">
        <v>1</v>
      </c>
      <c r="B6" s="135" t="s">
        <v>2</v>
      </c>
      <c r="C6" s="135" t="s">
        <v>3</v>
      </c>
      <c r="D6" s="5" t="s">
        <v>4</v>
      </c>
      <c r="E6" s="5" t="s">
        <v>5</v>
      </c>
      <c r="F6" s="5" t="s">
        <v>5</v>
      </c>
      <c r="G6" s="5"/>
      <c r="H6" s="5" t="s">
        <v>6</v>
      </c>
      <c r="I6" s="5" t="s">
        <v>6</v>
      </c>
      <c r="J6" s="5"/>
      <c r="K6" s="5" t="s">
        <v>7</v>
      </c>
      <c r="L6" s="5" t="s">
        <v>7</v>
      </c>
      <c r="M6" s="5"/>
      <c r="N6" s="5" t="s">
        <v>8</v>
      </c>
      <c r="O6" s="5" t="s">
        <v>8</v>
      </c>
      <c r="P6" s="5"/>
      <c r="Q6" s="5" t="s">
        <v>9</v>
      </c>
      <c r="R6" s="5">
        <v>5</v>
      </c>
      <c r="S6" s="5"/>
      <c r="T6" s="5" t="s">
        <v>10</v>
      </c>
      <c r="U6" s="5">
        <v>6</v>
      </c>
      <c r="V6" s="5"/>
      <c r="W6" s="5" t="s">
        <v>11</v>
      </c>
      <c r="X6" s="5">
        <v>7</v>
      </c>
      <c r="Y6" s="5"/>
      <c r="Z6" s="5" t="s">
        <v>12</v>
      </c>
      <c r="AA6" s="5">
        <v>8</v>
      </c>
      <c r="AB6" s="5"/>
      <c r="AC6" s="5" t="s">
        <v>13</v>
      </c>
      <c r="AD6" s="5">
        <v>9</v>
      </c>
      <c r="AE6" s="5"/>
      <c r="AF6" s="5" t="s">
        <v>14</v>
      </c>
      <c r="AG6" s="5">
        <v>10</v>
      </c>
      <c r="AH6" s="5"/>
      <c r="AI6" s="5" t="s">
        <v>15</v>
      </c>
      <c r="AJ6" s="5">
        <v>11</v>
      </c>
      <c r="AK6" s="5"/>
      <c r="AL6" s="5" t="s">
        <v>16</v>
      </c>
    </row>
    <row r="7" spans="1:41" ht="15.75" thickBot="1" x14ac:dyDescent="0.3">
      <c r="A7" s="136"/>
      <c r="B7" s="136"/>
      <c r="C7" s="136"/>
      <c r="D7" s="137"/>
      <c r="E7" s="137" t="s">
        <v>60</v>
      </c>
      <c r="F7" s="137" t="s">
        <v>61</v>
      </c>
      <c r="G7" s="137"/>
      <c r="H7" s="137" t="s">
        <v>60</v>
      </c>
      <c r="I7" s="137" t="s">
        <v>61</v>
      </c>
      <c r="J7" s="137"/>
      <c r="K7" s="137" t="s">
        <v>60</v>
      </c>
      <c r="L7" s="137" t="s">
        <v>61</v>
      </c>
      <c r="M7" s="137"/>
      <c r="N7" s="137" t="s">
        <v>60</v>
      </c>
      <c r="O7" s="137" t="s">
        <v>61</v>
      </c>
      <c r="P7" s="137"/>
      <c r="Q7" s="137" t="s">
        <v>60</v>
      </c>
      <c r="R7" s="137" t="s">
        <v>61</v>
      </c>
      <c r="S7" s="137"/>
      <c r="T7" s="137" t="s">
        <v>60</v>
      </c>
      <c r="U7" s="137" t="s">
        <v>61</v>
      </c>
      <c r="V7" s="137"/>
      <c r="W7" s="137" t="s">
        <v>60</v>
      </c>
      <c r="X7" s="137" t="s">
        <v>61</v>
      </c>
      <c r="Y7" s="137"/>
      <c r="Z7" s="137" t="s">
        <v>60</v>
      </c>
      <c r="AA7" s="137" t="s">
        <v>61</v>
      </c>
      <c r="AB7" s="137"/>
      <c r="AC7" s="137" t="s">
        <v>60</v>
      </c>
      <c r="AD7" s="137" t="s">
        <v>61</v>
      </c>
      <c r="AE7" s="137"/>
      <c r="AF7" s="137" t="s">
        <v>60</v>
      </c>
      <c r="AG7" s="137" t="s">
        <v>61</v>
      </c>
      <c r="AH7" s="137"/>
      <c r="AI7" s="137" t="s">
        <v>60</v>
      </c>
      <c r="AJ7" s="137" t="s">
        <v>61</v>
      </c>
      <c r="AK7" s="137"/>
      <c r="AL7" s="137" t="s">
        <v>60</v>
      </c>
    </row>
    <row r="8" spans="1:41" x14ac:dyDescent="0.25">
      <c r="A8" s="64" t="s">
        <v>17</v>
      </c>
      <c r="B8" s="65" t="s">
        <v>18</v>
      </c>
      <c r="C8" s="66" t="s">
        <v>19</v>
      </c>
      <c r="D8" s="67" t="s">
        <v>20</v>
      </c>
      <c r="E8" s="68">
        <f>SUMIFS([1]!Sorgu1[Hareket Borç Tutarı],[1]!Sorgu1[TIP],"NAZIM HESAP",[1]!Sorgu1[Hesap Açıklaması],"Kuver Hesabı Feriye Restoran",[1]!Sorgu1[AY],E$5)</f>
        <v>3728</v>
      </c>
      <c r="F8" s="69"/>
      <c r="G8" s="69"/>
      <c r="H8" s="70">
        <f>SUMIFS([1]!Sorgu1[Hareket Borç Tutarı],[1]!Sorgu1[TIP],"NAZIM HESAP",[1]!Sorgu1[Hesap Açıklaması],"Kuver Hesabı Feriye Restoran",[1]!Sorgu1[AY],H$5)</f>
        <v>3610</v>
      </c>
      <c r="I8" s="70"/>
      <c r="J8" s="70"/>
      <c r="K8" s="70">
        <f>SUMIFS([1]!Sorgu1[Hareket Borç Tutarı],[1]!Sorgu1[TIP],"NAZIM HESAP",[1]!Sorgu1[Hesap Açıklaması],"Kuver Hesabı Feriye Restoran",[1]!Sorgu1[AY],K$5)</f>
        <v>3984</v>
      </c>
      <c r="L8" s="70"/>
      <c r="M8" s="70"/>
      <c r="N8" s="70">
        <f>SUMIFS([1]!Sorgu1[Hareket Borç Tutarı],[1]!Sorgu1[TIP],"NAZIM HESAP",[1]!Sorgu1[Hesap Açıklaması],"Kuver Hesabı Feriye Restoran",[1]!Sorgu1[AY],N$5)</f>
        <v>4772</v>
      </c>
      <c r="O8" s="70"/>
      <c r="P8" s="70"/>
      <c r="Q8" s="70">
        <f>SUMIFS([1]!Sorgu1[Hareket Borç Tutarı],[1]!Sorgu1[TIP],"NAZIM HESAP",[1]!Sorgu1[Hesap Açıklaması],"Kuver Hesabı Feriye Restoran",[1]!Sorgu1[AY],Q$5)</f>
        <v>5256</v>
      </c>
      <c r="R8" s="70"/>
      <c r="S8" s="70"/>
      <c r="T8" s="70">
        <f>SUMIFS([1]!Sorgu1[Hareket Borç Tutarı],[1]!Sorgu1[TIP],"NAZIM HESAP",[1]!Sorgu1[Hesap Açıklaması],"Kuver Hesabı Feriye Restoran",[1]!Sorgu1[AY],T$5)</f>
        <v>5037</v>
      </c>
      <c r="U8" s="70"/>
      <c r="V8" s="70"/>
      <c r="W8" s="70">
        <f>SUMIFS([1]!Sorgu1[Hareket Borç Tutarı],[1]!Sorgu1[TIP],"NAZIM HESAP",[1]!Sorgu1[Hesap Açıklaması],"Kuver Hesabı Feriye Restoran",[1]!Sorgu1[AY],W$5)</f>
        <v>4648</v>
      </c>
      <c r="X8" s="70"/>
      <c r="Y8" s="70"/>
      <c r="Z8" s="70">
        <f>SUMIFS([1]!Sorgu1[Hareket Borç Tutarı],[1]!Sorgu1[TIP],"NAZIM HESAP",[1]!Sorgu1[Hesap Açıklaması],"Kuver Hesabı Feriye Restoran",[1]!Sorgu1[AY],Z$5)</f>
        <v>0</v>
      </c>
      <c r="AA8" s="70"/>
      <c r="AB8" s="70"/>
      <c r="AC8" s="70">
        <f>SUMIFS([1]!Sorgu1[Hareket Borç Tutarı],[1]!Sorgu1[TIP],"NAZIM HESAP",[1]!Sorgu1[Hesap Açıklaması],"Kuver Hesabı Feriye Restoran",[1]!Sorgu1[AY],AC$5)</f>
        <v>0</v>
      </c>
      <c r="AD8" s="70"/>
      <c r="AE8" s="70"/>
      <c r="AF8" s="70">
        <f>SUMIFS([1]!Sorgu1[Hareket Borç Tutarı],[1]!Sorgu1[TIP],"NAZIM HESAP",[1]!Sorgu1[Hesap Açıklaması],"Kuver Hesabı Feriye Restoran",[1]!Sorgu1[AY],AF$5)</f>
        <v>0</v>
      </c>
      <c r="AG8" s="70"/>
      <c r="AH8" s="70"/>
      <c r="AI8" s="70">
        <f>SUMIFS([1]!Sorgu1[Hareket Borç Tutarı],[1]!Sorgu1[TIP],"NAZIM HESAP",[1]!Sorgu1[Hesap Açıklaması],"Kuver Hesabı Feriye Restoran",[1]!Sorgu1[AY],AI$5)</f>
        <v>0</v>
      </c>
      <c r="AJ8" s="71"/>
      <c r="AK8" s="71"/>
      <c r="AL8" s="72">
        <f>SUMIFS([1]!Sorgu1[Hareket Borç Tutarı],[1]!Sorgu1[TIP],"NAZIM HESAP",[1]!Sorgu1[Hesap Açıklaması],"Kuver Hesabı Feriye Restoran",[1]!Sorgu1[AY],AL$5)</f>
        <v>0</v>
      </c>
    </row>
    <row r="9" spans="1:41" x14ac:dyDescent="0.25">
      <c r="A9" s="73" t="s">
        <v>17</v>
      </c>
      <c r="B9" s="6" t="s">
        <v>18</v>
      </c>
      <c r="C9" s="7" t="s">
        <v>21</v>
      </c>
      <c r="D9" s="8" t="s">
        <v>20</v>
      </c>
      <c r="E9" s="9"/>
      <c r="F9" s="10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2"/>
      <c r="AK9" s="12"/>
      <c r="AL9" s="74"/>
      <c r="AN9" s="63"/>
    </row>
    <row r="10" spans="1:41" x14ac:dyDescent="0.25">
      <c r="A10" s="73" t="s">
        <v>17</v>
      </c>
      <c r="B10" s="6" t="s">
        <v>18</v>
      </c>
      <c r="C10" s="7" t="s">
        <v>22</v>
      </c>
      <c r="D10" s="8" t="s">
        <v>23</v>
      </c>
      <c r="E10" s="13">
        <f>+[1]FERIYE!C200</f>
        <v>9692689.8800000101</v>
      </c>
      <c r="F10" s="14"/>
      <c r="G10" s="14"/>
      <c r="H10" s="15">
        <f>+[1]FERIYE!F200</f>
        <v>8793579.6400000192</v>
      </c>
      <c r="I10" s="14"/>
      <c r="J10" s="14"/>
      <c r="K10" s="13">
        <f>+[1]FERIYE!I200</f>
        <v>10505087.200000012</v>
      </c>
      <c r="L10" s="14"/>
      <c r="M10" s="14"/>
      <c r="N10" s="15">
        <f>+[1]FERIYE!L200</f>
        <v>12704259.800000027</v>
      </c>
      <c r="O10" s="15"/>
      <c r="P10" s="15"/>
      <c r="Q10" s="15">
        <f>+[1]FERIYE!O200</f>
        <v>14817367.540000001</v>
      </c>
      <c r="R10" s="15"/>
      <c r="S10" s="15"/>
      <c r="T10" s="15">
        <f>+[1]FERIYE!R200</f>
        <v>13448946.399999965</v>
      </c>
      <c r="U10" s="15"/>
      <c r="V10" s="15"/>
      <c r="W10" s="15">
        <f>+[1]FERIYE!U200</f>
        <v>10742037.290000008</v>
      </c>
      <c r="X10" s="15"/>
      <c r="Y10" s="15"/>
      <c r="Z10" s="15">
        <f>+[1]FERIYE!X200</f>
        <v>0</v>
      </c>
      <c r="AA10" s="15"/>
      <c r="AB10" s="15"/>
      <c r="AC10" s="15">
        <f>+[1]FERIYE!AA200</f>
        <v>0</v>
      </c>
      <c r="AD10" s="15"/>
      <c r="AE10" s="15"/>
      <c r="AF10" s="15">
        <f>+[1]FERIYE!AD200</f>
        <v>0</v>
      </c>
      <c r="AG10" s="15"/>
      <c r="AH10" s="15"/>
      <c r="AI10" s="15">
        <f>+[1]FERIYE!AG200</f>
        <v>0</v>
      </c>
      <c r="AJ10" s="16"/>
      <c r="AK10" s="16"/>
      <c r="AL10" s="75">
        <f>+[1]FERIYE!AJ200</f>
        <v>0</v>
      </c>
      <c r="AN10" s="63"/>
    </row>
    <row r="11" spans="1:41" x14ac:dyDescent="0.25">
      <c r="A11" s="73" t="s">
        <v>17</v>
      </c>
      <c r="B11" s="6" t="s">
        <v>18</v>
      </c>
      <c r="C11" s="7" t="s">
        <v>24</v>
      </c>
      <c r="D11" s="8" t="s">
        <v>23</v>
      </c>
      <c r="E11" s="13">
        <f>+[1]FERIYE!C201</f>
        <v>2475373.850000001</v>
      </c>
      <c r="F11" s="17"/>
      <c r="G11" s="17"/>
      <c r="H11" s="18">
        <f>+[1]FERIYE!F201</f>
        <v>1994415.78</v>
      </c>
      <c r="I11" s="18"/>
      <c r="J11" s="18"/>
      <c r="K11" s="18">
        <f>+[1]FERIYE!I201</f>
        <v>1796590.2799999996</v>
      </c>
      <c r="L11" s="18"/>
      <c r="M11" s="18"/>
      <c r="N11" s="18">
        <f>+[1]FERIYE!L201</f>
        <v>3373248.879999999</v>
      </c>
      <c r="O11" s="18"/>
      <c r="P11" s="18"/>
      <c r="Q11" s="18">
        <f>+[1]FERIYE!O201</f>
        <v>3472801.3</v>
      </c>
      <c r="R11" s="18"/>
      <c r="S11" s="18"/>
      <c r="T11" s="18">
        <f>+[1]FERIYE!R201</f>
        <v>3938267.8399999924</v>
      </c>
      <c r="U11" s="18"/>
      <c r="V11" s="18"/>
      <c r="W11" s="18">
        <f>+[1]FERIYE!U201</f>
        <v>2854647.3499999978</v>
      </c>
      <c r="X11" s="18"/>
      <c r="Y11" s="18"/>
      <c r="Z11" s="18">
        <f>+[1]FERIYE!X201</f>
        <v>0</v>
      </c>
      <c r="AA11" s="18"/>
      <c r="AB11" s="18"/>
      <c r="AC11" s="18">
        <f>+[1]FERIYE!AA201</f>
        <v>0</v>
      </c>
      <c r="AD11" s="18"/>
      <c r="AE11" s="18"/>
      <c r="AF11" s="18">
        <f>+[1]FERIYE!AD201</f>
        <v>0</v>
      </c>
      <c r="AG11" s="18"/>
      <c r="AH11" s="18"/>
      <c r="AI11" s="18">
        <f>+[1]FERIYE!AG201</f>
        <v>0</v>
      </c>
      <c r="AJ11" s="19"/>
      <c r="AK11" s="19"/>
      <c r="AL11" s="76">
        <f>+[1]FERIYE!AJ201</f>
        <v>0</v>
      </c>
    </row>
    <row r="12" spans="1:41" x14ac:dyDescent="0.25">
      <c r="A12" s="73" t="s">
        <v>17</v>
      </c>
      <c r="B12" s="6" t="s">
        <v>18</v>
      </c>
      <c r="C12" s="7" t="s">
        <v>25</v>
      </c>
      <c r="D12" s="8" t="s">
        <v>23</v>
      </c>
      <c r="E12" s="20">
        <f>+[1]FERIYE!C203</f>
        <v>1337512.4600000014</v>
      </c>
      <c r="F12" s="21"/>
      <c r="G12" s="21"/>
      <c r="H12" s="22">
        <f>+[1]FERIYE!F203</f>
        <v>588714.6399999999</v>
      </c>
      <c r="I12" s="22"/>
      <c r="J12" s="22"/>
      <c r="K12" s="22">
        <f>+[1]FERIYE!I203</f>
        <v>116700.67999999947</v>
      </c>
      <c r="L12" s="22"/>
      <c r="M12" s="22"/>
      <c r="N12" s="22">
        <f>+[1]FERIYE!L203</f>
        <v>472952.93999999762</v>
      </c>
      <c r="O12" s="22"/>
      <c r="P12" s="22"/>
      <c r="Q12" s="22">
        <f>+[1]FERIYE!O203</f>
        <v>1042913.7199999979</v>
      </c>
      <c r="R12" s="22"/>
      <c r="S12" s="22"/>
      <c r="T12" s="22">
        <f>+[1]FERIYE!R203</f>
        <v>720922.75</v>
      </c>
      <c r="U12" s="22"/>
      <c r="V12" s="22"/>
      <c r="W12" s="22">
        <f>+[1]FERIYE!U203</f>
        <v>571555.30999999866</v>
      </c>
      <c r="X12" s="22"/>
      <c r="Y12" s="22"/>
      <c r="Z12" s="22">
        <f>+[1]FERIYE!X203</f>
        <v>0</v>
      </c>
      <c r="AA12" s="22"/>
      <c r="AB12" s="22"/>
      <c r="AC12" s="22">
        <f>+[1]FERIYE!AA203</f>
        <v>0</v>
      </c>
      <c r="AD12" s="22"/>
      <c r="AE12" s="22"/>
      <c r="AF12" s="22">
        <f>+[1]FERIYE!AD203</f>
        <v>0</v>
      </c>
      <c r="AG12" s="22"/>
      <c r="AH12" s="22"/>
      <c r="AI12" s="22">
        <f>+[1]FERIYE!AG203</f>
        <v>0</v>
      </c>
      <c r="AJ12" s="23"/>
      <c r="AK12" s="23"/>
      <c r="AL12" s="77">
        <f>+[1]FERIYE!AJ203</f>
        <v>0</v>
      </c>
      <c r="AN12" s="63"/>
      <c r="AO12" s="63"/>
    </row>
    <row r="13" spans="1:41" x14ac:dyDescent="0.25">
      <c r="A13" s="73" t="s">
        <v>17</v>
      </c>
      <c r="B13" s="6" t="s">
        <v>18</v>
      </c>
      <c r="C13" s="7" t="s">
        <v>26</v>
      </c>
      <c r="D13" s="8" t="s">
        <v>23</v>
      </c>
      <c r="E13" s="24">
        <f>+[1]FERIYE!C225</f>
        <v>1899943.3399999999</v>
      </c>
      <c r="F13" s="25"/>
      <c r="G13" s="25"/>
      <c r="H13" s="26">
        <f>+[1]FERIYE!F225</f>
        <v>2828953.9499999997</v>
      </c>
      <c r="I13" s="26"/>
      <c r="J13" s="26"/>
      <c r="K13" s="26">
        <f>+[1]FERIYE!I225</f>
        <v>3130736.12</v>
      </c>
      <c r="L13" s="26"/>
      <c r="M13" s="26"/>
      <c r="N13" s="26">
        <f>+[1]FERIYE!L225</f>
        <v>2571371.4900000002</v>
      </c>
      <c r="O13" s="26"/>
      <c r="P13" s="26"/>
      <c r="Q13" s="26">
        <f>+[1]FERIYE!O225</f>
        <v>3056256.67</v>
      </c>
      <c r="R13" s="26"/>
      <c r="S13" s="26"/>
      <c r="T13" s="26">
        <f>+[1]FERIYE!R225</f>
        <v>3259159.92</v>
      </c>
      <c r="U13" s="26"/>
      <c r="V13" s="26"/>
      <c r="W13" s="26">
        <f>+[1]FERIYE!U225</f>
        <v>2571955.19</v>
      </c>
      <c r="X13" s="26"/>
      <c r="Y13" s="26"/>
      <c r="Z13" s="26">
        <f>+[1]FERIYE!X225</f>
        <v>0</v>
      </c>
      <c r="AA13" s="26"/>
      <c r="AB13" s="26"/>
      <c r="AC13" s="26">
        <f>+[1]FERIYE!AA225</f>
        <v>0</v>
      </c>
      <c r="AD13" s="26"/>
      <c r="AE13" s="26"/>
      <c r="AF13" s="26">
        <f>+[1]FERIYE!AD225</f>
        <v>0</v>
      </c>
      <c r="AG13" s="26"/>
      <c r="AH13" s="26"/>
      <c r="AI13" s="26">
        <f>+[1]FERIYE!AG225</f>
        <v>0</v>
      </c>
      <c r="AJ13" s="27"/>
      <c r="AK13" s="27"/>
      <c r="AL13" s="78">
        <f>+[1]FERIYE!AJ225</f>
        <v>0</v>
      </c>
      <c r="AN13" s="63"/>
      <c r="AO13" s="63"/>
    </row>
    <row r="14" spans="1:41" x14ac:dyDescent="0.25">
      <c r="A14" s="73" t="s">
        <v>17</v>
      </c>
      <c r="B14" s="6" t="s">
        <v>18</v>
      </c>
      <c r="C14" s="7" t="s">
        <v>27</v>
      </c>
      <c r="D14" s="8" t="s">
        <v>23</v>
      </c>
      <c r="E14" s="28">
        <f>+[1]FERIYE!C226</f>
        <v>604231.78</v>
      </c>
      <c r="F14" s="29"/>
      <c r="G14" s="29"/>
      <c r="H14" s="30">
        <f>+[1]FERIYE!F226</f>
        <v>559061.29999999993</v>
      </c>
      <c r="I14" s="30"/>
      <c r="J14" s="30"/>
      <c r="K14" s="30">
        <f>+[1]FERIYE!I226</f>
        <v>474028.45</v>
      </c>
      <c r="L14" s="30"/>
      <c r="M14" s="30"/>
      <c r="N14" s="30">
        <f>+[1]FERIYE!L226</f>
        <v>792556.53</v>
      </c>
      <c r="O14" s="30"/>
      <c r="P14" s="30"/>
      <c r="Q14" s="30">
        <f>+[1]FERIYE!O226</f>
        <v>968783.10000000009</v>
      </c>
      <c r="R14" s="30"/>
      <c r="S14" s="30"/>
      <c r="T14" s="30">
        <f>+[1]FERIYE!R226</f>
        <v>927176.67999999993</v>
      </c>
      <c r="U14" s="30"/>
      <c r="V14" s="30"/>
      <c r="W14" s="30">
        <f>+[1]FERIYE!U226</f>
        <v>813644.03999999992</v>
      </c>
      <c r="X14" s="30"/>
      <c r="Y14" s="30"/>
      <c r="Z14" s="30">
        <f>+[1]FERIYE!X226</f>
        <v>0</v>
      </c>
      <c r="AA14" s="30"/>
      <c r="AB14" s="30"/>
      <c r="AC14" s="30">
        <f>+[1]FERIYE!AA226</f>
        <v>0</v>
      </c>
      <c r="AD14" s="30"/>
      <c r="AE14" s="30"/>
      <c r="AF14" s="30">
        <f>+[1]FERIYE!AD226</f>
        <v>0</v>
      </c>
      <c r="AG14" s="30"/>
      <c r="AH14" s="30"/>
      <c r="AI14" s="30">
        <f>+[1]FERIYE!AG226</f>
        <v>0</v>
      </c>
      <c r="AJ14" s="31"/>
      <c r="AK14" s="31"/>
      <c r="AL14" s="79">
        <f>+[1]FERIYE!AJ226</f>
        <v>0</v>
      </c>
    </row>
    <row r="15" spans="1:41" x14ac:dyDescent="0.25">
      <c r="A15" s="73" t="s">
        <v>17</v>
      </c>
      <c r="B15" s="6" t="s">
        <v>18</v>
      </c>
      <c r="C15" s="7" t="s">
        <v>28</v>
      </c>
      <c r="D15" s="8" t="s">
        <v>29</v>
      </c>
      <c r="E15" s="80">
        <f>+[1]FERIYE!C209</f>
        <v>35.52496469711469</v>
      </c>
      <c r="F15" s="81"/>
      <c r="G15" s="81"/>
      <c r="H15" s="82">
        <f>+[1]FERIYE!F209</f>
        <v>36.552989246064321</v>
      </c>
      <c r="I15" s="82"/>
      <c r="J15" s="82"/>
      <c r="K15" s="82">
        <f>+[1]FERIYE!I209</f>
        <v>33.085316049140637</v>
      </c>
      <c r="L15" s="82"/>
      <c r="M15" s="82"/>
      <c r="N15" s="82">
        <f>+[1]FERIYE!L209</f>
        <v>33.032504409725085</v>
      </c>
      <c r="O15" s="82"/>
      <c r="P15" s="82"/>
      <c r="Q15" s="82">
        <f>+[1]FERIYE!O209</f>
        <v>27.463489417572553</v>
      </c>
      <c r="R15" s="82"/>
      <c r="S15" s="82"/>
      <c r="T15" s="82">
        <f>+[1]FERIYE!R209</f>
        <v>15.991853577941894</v>
      </c>
      <c r="U15" s="82"/>
      <c r="V15" s="82"/>
      <c r="W15" s="82">
        <f>+[1]FERIYE!U209</f>
        <v>17.256715409662547</v>
      </c>
      <c r="X15" s="82"/>
      <c r="Y15" s="82"/>
      <c r="Z15" s="82">
        <f>+[1]FERIYE!X209</f>
        <v>0</v>
      </c>
      <c r="AA15" s="82"/>
      <c r="AB15" s="82"/>
      <c r="AC15" s="82">
        <f>+[1]FERIYE!AA209</f>
        <v>0</v>
      </c>
      <c r="AD15" s="82"/>
      <c r="AE15" s="82"/>
      <c r="AF15" s="82">
        <f>+[1]FERIYE!AD209</f>
        <v>0</v>
      </c>
      <c r="AG15" s="82"/>
      <c r="AH15" s="82"/>
      <c r="AI15" s="82">
        <f>+[1]FERIYE!AG209</f>
        <v>0</v>
      </c>
      <c r="AJ15" s="83"/>
      <c r="AK15" s="83"/>
      <c r="AL15" s="84">
        <f>+[1]FERIYE!AJ209</f>
        <v>0</v>
      </c>
    </row>
    <row r="16" spans="1:41" x14ac:dyDescent="0.25">
      <c r="A16" s="85" t="s">
        <v>17</v>
      </c>
      <c r="B16" s="32" t="s">
        <v>18</v>
      </c>
      <c r="C16" s="33" t="s">
        <v>30</v>
      </c>
      <c r="D16" s="34" t="s">
        <v>29</v>
      </c>
      <c r="E16" s="86">
        <f>+[1]FERIYE!C210</f>
        <v>8.6564148442949023</v>
      </c>
      <c r="F16" s="87"/>
      <c r="G16" s="87"/>
      <c r="H16" s="88">
        <f>+[1]FERIYE!F210</f>
        <v>9.3268321610498965</v>
      </c>
      <c r="I16" s="88"/>
      <c r="J16" s="88"/>
      <c r="K16" s="88">
        <f>+[1]FERIYE!I210</f>
        <v>8.9377394066398885</v>
      </c>
      <c r="L16" s="88"/>
      <c r="M16" s="88"/>
      <c r="N16" s="88">
        <f>+[1]FERIYE!L210</f>
        <v>9.0808618148879745</v>
      </c>
      <c r="O16" s="88"/>
      <c r="P16" s="88"/>
      <c r="Q16" s="88">
        <f>+[1]FERIYE!O210</f>
        <v>9.3728940026838075</v>
      </c>
      <c r="R16" s="88"/>
      <c r="S16" s="88"/>
      <c r="T16" s="88">
        <f>+[1]FERIYE!R210</f>
        <v>4.1599657249469066</v>
      </c>
      <c r="U16" s="88"/>
      <c r="V16" s="88"/>
      <c r="W16" s="88">
        <f>+[1]FERIYE!U210</f>
        <v>4.1286945157358437</v>
      </c>
      <c r="X16" s="88"/>
      <c r="Y16" s="88"/>
      <c r="Z16" s="88">
        <f>+[1]FERIYE!X210</f>
        <v>0</v>
      </c>
      <c r="AA16" s="88"/>
      <c r="AB16" s="88"/>
      <c r="AC16" s="88">
        <f>+[1]FERIYE!AA210</f>
        <v>0</v>
      </c>
      <c r="AD16" s="88"/>
      <c r="AE16" s="88"/>
      <c r="AF16" s="88">
        <f>+[1]FERIYE!AD210</f>
        <v>0</v>
      </c>
      <c r="AG16" s="88"/>
      <c r="AH16" s="88"/>
      <c r="AI16" s="88">
        <f>+[1]FERIYE!AG210</f>
        <v>0</v>
      </c>
      <c r="AJ16" s="89"/>
      <c r="AK16" s="89"/>
      <c r="AL16" s="90">
        <f>+[1]FERIYE!AJ210</f>
        <v>0</v>
      </c>
    </row>
    <row r="17" spans="1:38" x14ac:dyDescent="0.25">
      <c r="A17" s="85" t="s">
        <v>17</v>
      </c>
      <c r="B17" s="32" t="s">
        <v>18</v>
      </c>
      <c r="C17" s="33" t="s">
        <v>31</v>
      </c>
      <c r="D17" s="34" t="s">
        <v>29</v>
      </c>
      <c r="E17" s="86">
        <f>+[1]FERIYE!C211</f>
        <v>4.7273643288566047</v>
      </c>
      <c r="F17" s="87"/>
      <c r="G17" s="87"/>
      <c r="H17" s="88">
        <f>+[1]FERIYE!F211</f>
        <v>4.9456689016815183</v>
      </c>
      <c r="I17" s="88"/>
      <c r="J17" s="88"/>
      <c r="K17" s="88">
        <f>+[1]FERIYE!I211</f>
        <v>8.1850876671333719</v>
      </c>
      <c r="L17" s="88"/>
      <c r="M17" s="88"/>
      <c r="N17" s="88">
        <f>+[1]FERIYE!L211</f>
        <v>9.5999210936411483</v>
      </c>
      <c r="O17" s="88"/>
      <c r="P17" s="88"/>
      <c r="Q17" s="88">
        <f>+[1]FERIYE!O211</f>
        <v>10.73787856618145</v>
      </c>
      <c r="R17" s="88"/>
      <c r="S17" s="88"/>
      <c r="T17" s="88">
        <f>+[1]FERIYE!R211</f>
        <v>8.8434213334240876</v>
      </c>
      <c r="U17" s="88"/>
      <c r="V17" s="88"/>
      <c r="W17" s="88">
        <f>+[1]FERIYE!U211</f>
        <v>7.4727502547255087</v>
      </c>
      <c r="X17" s="88"/>
      <c r="Y17" s="88"/>
      <c r="Z17" s="88">
        <f>+[1]FERIYE!X211</f>
        <v>0</v>
      </c>
      <c r="AA17" s="88"/>
      <c r="AB17" s="88"/>
      <c r="AC17" s="88">
        <f>+[1]FERIYE!AA211</f>
        <v>0</v>
      </c>
      <c r="AD17" s="88"/>
      <c r="AE17" s="88"/>
      <c r="AF17" s="88">
        <f>+[1]FERIYE!AD211</f>
        <v>0</v>
      </c>
      <c r="AG17" s="88"/>
      <c r="AH17" s="88"/>
      <c r="AI17" s="88">
        <f>+[1]FERIYE!AG211</f>
        <v>0</v>
      </c>
      <c r="AJ17" s="89"/>
      <c r="AK17" s="89"/>
      <c r="AL17" s="90">
        <f>+[1]FERIYE!AJ211</f>
        <v>0</v>
      </c>
    </row>
    <row r="18" spans="1:38" x14ac:dyDescent="0.25">
      <c r="A18" s="85" t="s">
        <v>17</v>
      </c>
      <c r="B18" s="32" t="s">
        <v>18</v>
      </c>
      <c r="C18" s="33" t="s">
        <v>32</v>
      </c>
      <c r="D18" s="34" t="s">
        <v>29</v>
      </c>
      <c r="E18" s="86">
        <f>+[1]FERIYE!C212</f>
        <v>0.44724810028856993</v>
      </c>
      <c r="F18" s="87"/>
      <c r="G18" s="87"/>
      <c r="H18" s="88">
        <f>+[1]FERIYE!F212</f>
        <v>1.2139369122309185</v>
      </c>
      <c r="I18" s="88"/>
      <c r="J18" s="88"/>
      <c r="K18" s="88">
        <f>+[1]FERIYE!I212</f>
        <v>2.5454263690255119</v>
      </c>
      <c r="L18" s="88"/>
      <c r="M18" s="88"/>
      <c r="N18" s="88">
        <f>+[1]FERIYE!L212</f>
        <v>3.4621789005495107</v>
      </c>
      <c r="O18" s="88"/>
      <c r="P18" s="88"/>
      <c r="Q18" s="88">
        <f>+[1]FERIYE!O212</f>
        <v>7.2799176719874232</v>
      </c>
      <c r="R18" s="88"/>
      <c r="S18" s="88"/>
      <c r="T18" s="88">
        <f>+[1]FERIYE!R212</f>
        <v>3.9465038306918419</v>
      </c>
      <c r="U18" s="88"/>
      <c r="V18" s="88"/>
      <c r="W18" s="88">
        <f>+[1]FERIYE!U212</f>
        <v>3.7897519148965078</v>
      </c>
      <c r="X18" s="88"/>
      <c r="Y18" s="88"/>
      <c r="Z18" s="88">
        <f>+[1]FERIYE!X212</f>
        <v>0</v>
      </c>
      <c r="AA18" s="88"/>
      <c r="AB18" s="88"/>
      <c r="AC18" s="88">
        <f>+[1]FERIYE!AA212</f>
        <v>0</v>
      </c>
      <c r="AD18" s="88"/>
      <c r="AE18" s="88"/>
      <c r="AF18" s="88">
        <f>+[1]FERIYE!AD212</f>
        <v>0</v>
      </c>
      <c r="AG18" s="88"/>
      <c r="AH18" s="88"/>
      <c r="AI18" s="88">
        <f>+[1]FERIYE!AG212</f>
        <v>0</v>
      </c>
      <c r="AJ18" s="89"/>
      <c r="AK18" s="89"/>
      <c r="AL18" s="90">
        <f>+[1]FERIYE!AJ212</f>
        <v>0</v>
      </c>
    </row>
    <row r="19" spans="1:38" x14ac:dyDescent="0.25">
      <c r="A19" s="85" t="s">
        <v>17</v>
      </c>
      <c r="B19" s="32" t="s">
        <v>18</v>
      </c>
      <c r="C19" s="33" t="s">
        <v>33</v>
      </c>
      <c r="D19" s="34" t="s">
        <v>29</v>
      </c>
      <c r="E19" s="86">
        <f>SUM(E15:E18)</f>
        <v>49.355991970554761</v>
      </c>
      <c r="F19" s="87"/>
      <c r="G19" s="87"/>
      <c r="H19" s="86">
        <f>SUM(H15:H18)</f>
        <v>52.039427221026656</v>
      </c>
      <c r="I19" s="88"/>
      <c r="J19" s="88"/>
      <c r="K19" s="86">
        <f>SUM(K15:K18)</f>
        <v>52.753569491939409</v>
      </c>
      <c r="L19" s="88"/>
      <c r="M19" s="88"/>
      <c r="N19" s="86">
        <f>SUM(N15:N18)</f>
        <v>55.17546621880372</v>
      </c>
      <c r="O19" s="88"/>
      <c r="P19" s="88"/>
      <c r="Q19" s="86">
        <f>SUM(Q15:Q18)</f>
        <v>54.854179658425238</v>
      </c>
      <c r="R19" s="88"/>
      <c r="S19" s="88"/>
      <c r="T19" s="86">
        <f>SUM(T15:T18)</f>
        <v>32.941744467004725</v>
      </c>
      <c r="U19" s="88"/>
      <c r="V19" s="88"/>
      <c r="W19" s="86">
        <f>SUM(W15:W18)</f>
        <v>32.647912095020409</v>
      </c>
      <c r="X19" s="88"/>
      <c r="Y19" s="88"/>
      <c r="Z19" s="86">
        <f>SUM(Z15:Z18)</f>
        <v>0</v>
      </c>
      <c r="AA19" s="88"/>
      <c r="AB19" s="88"/>
      <c r="AC19" s="86">
        <f>SUM(AC15:AC18)</f>
        <v>0</v>
      </c>
      <c r="AD19" s="88"/>
      <c r="AE19" s="88"/>
      <c r="AF19" s="86">
        <f>SUM(AF15:AF18)</f>
        <v>0</v>
      </c>
      <c r="AG19" s="88"/>
      <c r="AH19" s="88"/>
      <c r="AI19" s="86">
        <f>SUM(AI15:AI18)</f>
        <v>0</v>
      </c>
      <c r="AJ19" s="89"/>
      <c r="AK19" s="89"/>
      <c r="AL19" s="91">
        <f>SUM(AL15:AL18)</f>
        <v>0</v>
      </c>
    </row>
    <row r="20" spans="1:38" x14ac:dyDescent="0.25">
      <c r="A20" s="85" t="s">
        <v>17</v>
      </c>
      <c r="B20" s="32" t="s">
        <v>18</v>
      </c>
      <c r="C20" s="33" t="s">
        <v>34</v>
      </c>
      <c r="D20" s="34" t="s">
        <v>23</v>
      </c>
      <c r="E20" s="35">
        <f>+[1]FERIYE!C216+[1]FERIYE!C217+[1]FERIYE!C218+[1]FERIYE!C219</f>
        <v>2587264.5146986335</v>
      </c>
      <c r="F20" s="36"/>
      <c r="G20" s="36"/>
      <c r="H20" s="35">
        <f>+[1]FERIYE!F216+[1]FERIYE!F217+[1]FERIYE!F218+[1]FERIYE!F219</f>
        <v>2950196.9025481343</v>
      </c>
      <c r="I20" s="18"/>
      <c r="J20" s="18"/>
      <c r="K20" s="35">
        <f>+[1]FERIYE!I216+[1]FERIYE!I217+[1]FERIYE!I218+[1]FERIYE!I219</f>
        <v>2974062.8476238297</v>
      </c>
      <c r="L20" s="18"/>
      <c r="M20" s="18"/>
      <c r="N20" s="35">
        <f>+[1]FERIYE!L216+[1]FERIYE!L217+[1]FERIYE!L218+[1]FERIYE!L219</f>
        <v>3053129.5330842119</v>
      </c>
      <c r="O20" s="18"/>
      <c r="P20" s="18"/>
      <c r="Q20" s="35">
        <f>+[1]FERIYE!O216+[1]FERIYE!O217+[1]FERIYE!O218+[1]FERIYE!O219</f>
        <v>3191806.2583573433</v>
      </c>
      <c r="R20" s="18"/>
      <c r="S20" s="18"/>
      <c r="T20" s="35">
        <f>+[1]FERIYE!R216+[1]FERIYE!R217+[1]FERIYE!R218+[1]FERIYE!R219</f>
        <v>1987648.8503872894</v>
      </c>
      <c r="U20" s="18"/>
      <c r="V20" s="18"/>
      <c r="W20" s="35">
        <f>+[1]FERIYE!U216+[1]FERIYE!U217+[1]FERIYE!U218+[1]FERIYE!U219</f>
        <v>1917620.6120791717</v>
      </c>
      <c r="X20" s="18"/>
      <c r="Y20" s="18"/>
      <c r="Z20" s="35">
        <f>+[1]FERIYE!X216+[1]FERIYE!X217+[1]FERIYE!X218+[1]FERIYE!X219</f>
        <v>0</v>
      </c>
      <c r="AA20" s="18"/>
      <c r="AB20" s="18"/>
      <c r="AC20" s="35">
        <f>+[1]FERIYE!AA216+[1]FERIYE!AA217+[1]FERIYE!AA218+[1]FERIYE!AA219</f>
        <v>0</v>
      </c>
      <c r="AD20" s="18"/>
      <c r="AE20" s="18"/>
      <c r="AF20" s="35">
        <f>+[1]FERIYE!AD216+[1]FERIYE!AD217+[1]FERIYE!AD218+[1]FERIYE!AD219</f>
        <v>0</v>
      </c>
      <c r="AG20" s="18"/>
      <c r="AH20" s="18"/>
      <c r="AI20" s="35">
        <f>+[1]FERIYE!AG216+[1]FERIYE!AG217+[1]FERIYE!AG218+[1]FERIYE!AG219</f>
        <v>0</v>
      </c>
      <c r="AJ20" s="19"/>
      <c r="AK20" s="19"/>
      <c r="AL20" s="92">
        <f>+[1]FERIYE!AJ216+[1]FERIYE!AJ217+[1]FERIYE!AJ218+[1]FERIYE!AJ219</f>
        <v>0</v>
      </c>
    </row>
    <row r="21" spans="1:38" x14ac:dyDescent="0.25">
      <c r="A21" s="85" t="s">
        <v>17</v>
      </c>
      <c r="B21" s="32" t="s">
        <v>18</v>
      </c>
      <c r="C21" s="33" t="s">
        <v>35</v>
      </c>
      <c r="D21" s="34" t="s">
        <v>23</v>
      </c>
      <c r="E21" s="35">
        <f>+[1]FERIYE!C220</f>
        <v>846147.69506647706</v>
      </c>
      <c r="F21" s="36"/>
      <c r="G21" s="36"/>
      <c r="H21" s="35">
        <f>+[1]FERIYE!F220</f>
        <v>777917.91458902997</v>
      </c>
      <c r="I21" s="18"/>
      <c r="J21" s="18"/>
      <c r="K21" s="35">
        <f>+[1]FERIYE!I220</f>
        <v>825623.34317647538</v>
      </c>
      <c r="L21" s="18"/>
      <c r="M21" s="18"/>
      <c r="N21" s="35">
        <f>+[1]FERIYE!L220</f>
        <v>980874.24407834245</v>
      </c>
      <c r="O21" s="18"/>
      <c r="P21" s="18"/>
      <c r="Q21" s="35">
        <f>+[1]FERIYE!O220</f>
        <v>818183.34517932776</v>
      </c>
      <c r="R21" s="18"/>
      <c r="S21" s="18"/>
      <c r="T21" s="35">
        <f>+[1]FERIYE!R220</f>
        <v>447592.01279462862</v>
      </c>
      <c r="U21" s="18"/>
      <c r="V21" s="18"/>
      <c r="W21" s="35">
        <f>+[1]FERIYE!U220</f>
        <v>583906.26114554459</v>
      </c>
      <c r="X21" s="18"/>
      <c r="Y21" s="18"/>
      <c r="Z21" s="35">
        <f>+[1]FERIYE!X220</f>
        <v>0</v>
      </c>
      <c r="AA21" s="18"/>
      <c r="AB21" s="18"/>
      <c r="AC21" s="35">
        <f>+[1]FERIYE!AA220</f>
        <v>0</v>
      </c>
      <c r="AD21" s="18"/>
      <c r="AE21" s="18"/>
      <c r="AF21" s="35">
        <f>+[1]FERIYE!AD220</f>
        <v>0</v>
      </c>
      <c r="AG21" s="18"/>
      <c r="AH21" s="18"/>
      <c r="AI21" s="35">
        <f>+[1]FERIYE!AG220</f>
        <v>0</v>
      </c>
      <c r="AJ21" s="19"/>
      <c r="AK21" s="19"/>
      <c r="AL21" s="92">
        <f>+[1]FERIYE!AJ220</f>
        <v>0</v>
      </c>
    </row>
    <row r="22" spans="1:38" x14ac:dyDescent="0.25">
      <c r="A22" s="85" t="s">
        <v>17</v>
      </c>
      <c r="B22" s="32" t="s">
        <v>18</v>
      </c>
      <c r="C22" s="33" t="s">
        <v>36</v>
      </c>
      <c r="D22" s="34" t="s">
        <v>23</v>
      </c>
      <c r="E22" s="35">
        <f>+[1]FERIYE!C221</f>
        <v>484673.98002165626</v>
      </c>
      <c r="F22" s="36"/>
      <c r="G22" s="36"/>
      <c r="H22" s="35">
        <f>+[1]FERIYE!F221</f>
        <v>520402.96459803311</v>
      </c>
      <c r="I22" s="18"/>
      <c r="J22" s="18"/>
      <c r="K22" s="35">
        <f>+[1]FERIYE!I221</f>
        <v>914951.41764694394</v>
      </c>
      <c r="L22" s="18"/>
      <c r="M22" s="18"/>
      <c r="N22" s="35">
        <f>+[1]FERIYE!L221</f>
        <v>1028226.5184124239</v>
      </c>
      <c r="O22" s="18"/>
      <c r="P22" s="18"/>
      <c r="Q22" s="35">
        <f>+[1]FERIYE!O221</f>
        <v>1245122.0658131381</v>
      </c>
      <c r="R22" s="18"/>
      <c r="S22" s="18"/>
      <c r="T22" s="35">
        <f>+[1]FERIYE!R221</f>
        <v>980798.42763009307</v>
      </c>
      <c r="U22" s="18"/>
      <c r="V22" s="18"/>
      <c r="W22" s="35">
        <f>+[1]FERIYE!U221</f>
        <v>855225.98867060593</v>
      </c>
      <c r="X22" s="18"/>
      <c r="Y22" s="18"/>
      <c r="Z22" s="35">
        <f>+[1]FERIYE!X221</f>
        <v>0</v>
      </c>
      <c r="AA22" s="18"/>
      <c r="AB22" s="18"/>
      <c r="AC22" s="35">
        <f>+[1]FERIYE!AA221</f>
        <v>0</v>
      </c>
      <c r="AD22" s="18"/>
      <c r="AE22" s="18"/>
      <c r="AF22" s="35">
        <f>+[1]FERIYE!AD221</f>
        <v>0</v>
      </c>
      <c r="AG22" s="18"/>
      <c r="AH22" s="18"/>
      <c r="AI22" s="35">
        <f>+[1]FERIYE!AG221</f>
        <v>0</v>
      </c>
      <c r="AJ22" s="19"/>
      <c r="AK22" s="19"/>
      <c r="AL22" s="92">
        <f>+[1]FERIYE!AJ221</f>
        <v>0</v>
      </c>
    </row>
    <row r="23" spans="1:38" x14ac:dyDescent="0.25">
      <c r="A23" s="85" t="s">
        <v>17</v>
      </c>
      <c r="B23" s="32" t="s">
        <v>18</v>
      </c>
      <c r="C23" s="33" t="s">
        <v>37</v>
      </c>
      <c r="D23" s="34" t="s">
        <v>23</v>
      </c>
      <c r="E23" s="37">
        <f>SUM(E20:E22)</f>
        <v>3918086.1897867667</v>
      </c>
      <c r="F23" s="38"/>
      <c r="G23" s="38"/>
      <c r="H23" s="37">
        <f>SUM(H20:H22)</f>
        <v>4248517.7817351967</v>
      </c>
      <c r="I23" s="39"/>
      <c r="J23" s="39"/>
      <c r="K23" s="37">
        <f>SUM(K20:K22)</f>
        <v>4714637.608447249</v>
      </c>
      <c r="L23" s="39"/>
      <c r="M23" s="39"/>
      <c r="N23" s="37">
        <f>SUM(N20:N22)</f>
        <v>5062230.295574978</v>
      </c>
      <c r="O23" s="39"/>
      <c r="P23" s="39"/>
      <c r="Q23" s="37">
        <f>SUM(Q20:Q22)</f>
        <v>5255111.6693498092</v>
      </c>
      <c r="R23" s="39"/>
      <c r="S23" s="39"/>
      <c r="T23" s="37">
        <f>SUM(T20:T22)</f>
        <v>3416039.2908120109</v>
      </c>
      <c r="U23" s="39"/>
      <c r="V23" s="39"/>
      <c r="W23" s="37">
        <f>SUM(W20:W22)</f>
        <v>3356752.8618953219</v>
      </c>
      <c r="X23" s="39"/>
      <c r="Y23" s="39"/>
      <c r="Z23" s="37">
        <f>SUM(Z20:Z22)</f>
        <v>0</v>
      </c>
      <c r="AA23" s="39"/>
      <c r="AB23" s="39"/>
      <c r="AC23" s="37">
        <f>SUM(AC20:AC22)</f>
        <v>0</v>
      </c>
      <c r="AD23" s="39"/>
      <c r="AE23" s="39"/>
      <c r="AF23" s="37">
        <f>SUM(AF20:AF22)</f>
        <v>0</v>
      </c>
      <c r="AG23" s="39"/>
      <c r="AH23" s="39"/>
      <c r="AI23" s="37">
        <f>SUM(AI20:AI22)</f>
        <v>0</v>
      </c>
      <c r="AJ23" s="40"/>
      <c r="AK23" s="40"/>
      <c r="AL23" s="93">
        <f>SUM(AL20:AL22)</f>
        <v>0</v>
      </c>
    </row>
    <row r="24" spans="1:38" x14ac:dyDescent="0.25">
      <c r="A24" s="73" t="s">
        <v>17</v>
      </c>
      <c r="B24" s="6" t="s">
        <v>18</v>
      </c>
      <c r="C24" s="7" t="s">
        <v>38</v>
      </c>
      <c r="D24" s="8" t="s">
        <v>23</v>
      </c>
      <c r="E24" s="28">
        <f>IFERROR(E23/E19,0)</f>
        <v>79384.205105719549</v>
      </c>
      <c r="F24" s="29"/>
      <c r="G24" s="29"/>
      <c r="H24" s="28">
        <f>IFERROR(H23/H19,0)</f>
        <v>81640.364020351335</v>
      </c>
      <c r="I24" s="30"/>
      <c r="J24" s="30"/>
      <c r="K24" s="28">
        <f>IFERROR(K23/K19,0)</f>
        <v>89370.968710802248</v>
      </c>
      <c r="L24" s="30"/>
      <c r="M24" s="30"/>
      <c r="N24" s="28">
        <f>IFERROR(N23/N19,0)</f>
        <v>91747.848137797468</v>
      </c>
      <c r="O24" s="30"/>
      <c r="P24" s="30"/>
      <c r="Q24" s="28">
        <f>IFERROR(Q23/Q19,0)</f>
        <v>95801.481346967135</v>
      </c>
      <c r="R24" s="30"/>
      <c r="S24" s="30"/>
      <c r="T24" s="28">
        <f>IFERROR(T23/T19,0)</f>
        <v>103699.4046940532</v>
      </c>
      <c r="U24" s="30"/>
      <c r="V24" s="30"/>
      <c r="W24" s="28">
        <f>IFERROR(W23/W19,0)</f>
        <v>102816.76978685897</v>
      </c>
      <c r="X24" s="30"/>
      <c r="Y24" s="30"/>
      <c r="Z24" s="28">
        <f>IFERROR(Z23/Z19,0)</f>
        <v>0</v>
      </c>
      <c r="AA24" s="30"/>
      <c r="AB24" s="30"/>
      <c r="AC24" s="28">
        <f>IFERROR(AC23/AC19,0)</f>
        <v>0</v>
      </c>
      <c r="AD24" s="30"/>
      <c r="AE24" s="30"/>
      <c r="AF24" s="28">
        <f>IFERROR(AF23/AF19,0)</f>
        <v>0</v>
      </c>
      <c r="AG24" s="30"/>
      <c r="AH24" s="30"/>
      <c r="AI24" s="28">
        <f>IFERROR(AI23/AI19,0)</f>
        <v>0</v>
      </c>
      <c r="AJ24" s="31"/>
      <c r="AK24" s="31"/>
      <c r="AL24" s="94">
        <f>IFERROR(AL23/AL19,0)</f>
        <v>0</v>
      </c>
    </row>
    <row r="25" spans="1:38" x14ac:dyDescent="0.25">
      <c r="A25" s="73" t="s">
        <v>17</v>
      </c>
      <c r="B25" s="6" t="s">
        <v>18</v>
      </c>
      <c r="C25" s="7" t="s">
        <v>39</v>
      </c>
      <c r="D25" s="8" t="s">
        <v>23</v>
      </c>
      <c r="E25" s="41">
        <f>+[1]FERIYE!C245</f>
        <v>214451.34748219891</v>
      </c>
      <c r="F25" s="42"/>
      <c r="G25" s="42"/>
      <c r="H25" s="43">
        <f>+[1]FERIYE!F245</f>
        <v>141161.49485373677</v>
      </c>
      <c r="I25" s="43"/>
      <c r="J25" s="43"/>
      <c r="K25" s="43">
        <f>+[1]FERIYE!I245</f>
        <v>148652.32500878887</v>
      </c>
      <c r="L25" s="43"/>
      <c r="M25" s="43"/>
      <c r="N25" s="43">
        <f>+[1]FERIYE!L245</f>
        <v>150775.0978308538</v>
      </c>
      <c r="O25" s="43"/>
      <c r="P25" s="43"/>
      <c r="Q25" s="43">
        <f>+[1]FERIYE!O245</f>
        <v>102253.81461970625</v>
      </c>
      <c r="R25" s="43"/>
      <c r="S25" s="43"/>
      <c r="T25" s="43">
        <f>+[1]FERIYE!R245</f>
        <v>87869.052639496382</v>
      </c>
      <c r="U25" s="43"/>
      <c r="V25" s="43"/>
      <c r="W25" s="43">
        <f>+[1]FERIYE!U245</f>
        <v>125156.63705463847</v>
      </c>
      <c r="X25" s="43"/>
      <c r="Y25" s="43"/>
      <c r="Z25" s="43">
        <f>+[1]FERIYE!X245</f>
        <v>0</v>
      </c>
      <c r="AA25" s="43"/>
      <c r="AB25" s="43"/>
      <c r="AC25" s="43">
        <f>+[1]FERIYE!AA245</f>
        <v>0</v>
      </c>
      <c r="AD25" s="43"/>
      <c r="AE25" s="43"/>
      <c r="AF25" s="43">
        <f>+[1]FERIYE!AD245</f>
        <v>0</v>
      </c>
      <c r="AG25" s="43"/>
      <c r="AH25" s="43"/>
      <c r="AI25" s="43">
        <f>+[1]FERIYE!AG245</f>
        <v>0</v>
      </c>
      <c r="AJ25" s="44"/>
      <c r="AK25" s="44"/>
      <c r="AL25" s="95">
        <f>+[1]FERIYE!AJ245</f>
        <v>0</v>
      </c>
    </row>
    <row r="26" spans="1:38" x14ac:dyDescent="0.25">
      <c r="A26" s="73" t="s">
        <v>17</v>
      </c>
      <c r="B26" s="6" t="s">
        <v>18</v>
      </c>
      <c r="C26" s="7" t="s">
        <v>40</v>
      </c>
      <c r="D26" s="34" t="s">
        <v>23</v>
      </c>
      <c r="E26" s="45">
        <f>+[1]FERIYE!C246</f>
        <v>99105.268913082633</v>
      </c>
      <c r="F26" s="46"/>
      <c r="G26" s="46"/>
      <c r="H26" s="47">
        <f>+[1]FERIYE!F246</f>
        <v>124556.60634572206</v>
      </c>
      <c r="I26" s="47"/>
      <c r="J26" s="47"/>
      <c r="K26" s="47">
        <f>+[1]FERIYE!I246</f>
        <v>126995.98381006918</v>
      </c>
      <c r="L26" s="47"/>
      <c r="M26" s="47"/>
      <c r="N26" s="47">
        <f>+[1]FERIYE!L246</f>
        <v>114001.57266535703</v>
      </c>
      <c r="O26" s="47"/>
      <c r="P26" s="47"/>
      <c r="Q26" s="47">
        <f>+[1]FERIYE!O246</f>
        <v>150837.93768570508</v>
      </c>
      <c r="R26" s="47"/>
      <c r="S26" s="47"/>
      <c r="T26" s="47">
        <f>+[1]FERIYE!R246</f>
        <v>-7146.480592913189</v>
      </c>
      <c r="U26" s="47"/>
      <c r="V26" s="47"/>
      <c r="W26" s="47">
        <f>+[1]FERIYE!U246</f>
        <v>18829.699981049125</v>
      </c>
      <c r="X26" s="47"/>
      <c r="Y26" s="47"/>
      <c r="Z26" s="47">
        <f>+[1]FERIYE!X246</f>
        <v>0</v>
      </c>
      <c r="AA26" s="47"/>
      <c r="AB26" s="47"/>
      <c r="AC26" s="47">
        <f>+[1]FERIYE!AA246</f>
        <v>0</v>
      </c>
      <c r="AD26" s="47"/>
      <c r="AE26" s="47"/>
      <c r="AF26" s="47">
        <f>+[1]FERIYE!AD246</f>
        <v>0</v>
      </c>
      <c r="AG26" s="47"/>
      <c r="AH26" s="47"/>
      <c r="AI26" s="47">
        <f>+[1]FERIYE!AG246</f>
        <v>0</v>
      </c>
      <c r="AJ26" s="48"/>
      <c r="AK26" s="48"/>
      <c r="AL26" s="96">
        <f>+[1]FERIYE!AJ246</f>
        <v>0</v>
      </c>
    </row>
    <row r="27" spans="1:38" x14ac:dyDescent="0.25">
      <c r="A27" s="73" t="s">
        <v>17</v>
      </c>
      <c r="B27" s="6" t="s">
        <v>18</v>
      </c>
      <c r="C27" s="7" t="s">
        <v>41</v>
      </c>
      <c r="D27" s="34" t="s">
        <v>23</v>
      </c>
      <c r="E27" s="45">
        <f>+[1]FERIYE!C247</f>
        <v>44973.201043694673</v>
      </c>
      <c r="F27" s="46"/>
      <c r="G27" s="46"/>
      <c r="H27" s="47">
        <f>+[1]FERIYE!F247</f>
        <v>38633.26247674039</v>
      </c>
      <c r="I27" s="47"/>
      <c r="J27" s="47"/>
      <c r="K27" s="47">
        <f>+[1]FERIYE!I247</f>
        <v>40851.589610475967</v>
      </c>
      <c r="L27" s="47"/>
      <c r="M27" s="47"/>
      <c r="N27" s="47">
        <f>+[1]FERIYE!L247</f>
        <v>41413.074990676258</v>
      </c>
      <c r="O27" s="47"/>
      <c r="P27" s="47"/>
      <c r="Q27" s="47">
        <f>+[1]FERIYE!O247</f>
        <v>56993.210568294031</v>
      </c>
      <c r="R27" s="47"/>
      <c r="S27" s="47"/>
      <c r="T27" s="47">
        <f>+[1]FERIYE!R247</f>
        <v>44195.785889825209</v>
      </c>
      <c r="U27" s="47"/>
      <c r="V27" s="47"/>
      <c r="W27" s="47">
        <f>+[1]FERIYE!U247</f>
        <v>61315.098135866669</v>
      </c>
      <c r="X27" s="47"/>
      <c r="Y27" s="47"/>
      <c r="Z27" s="47">
        <f>+[1]FERIYE!X247</f>
        <v>0</v>
      </c>
      <c r="AA27" s="47"/>
      <c r="AB27" s="47"/>
      <c r="AC27" s="47">
        <f>+[1]FERIYE!AA247</f>
        <v>0</v>
      </c>
      <c r="AD27" s="47"/>
      <c r="AE27" s="47"/>
      <c r="AF27" s="47">
        <f>+[1]FERIYE!AD247</f>
        <v>0</v>
      </c>
      <c r="AG27" s="47"/>
      <c r="AH27" s="47"/>
      <c r="AI27" s="47">
        <f>+[1]FERIYE!AG247</f>
        <v>0</v>
      </c>
      <c r="AJ27" s="48"/>
      <c r="AK27" s="48"/>
      <c r="AL27" s="96">
        <f>+[1]FERIYE!AJ247</f>
        <v>0</v>
      </c>
    </row>
    <row r="28" spans="1:38" x14ac:dyDescent="0.25">
      <c r="A28" s="73" t="s">
        <v>17</v>
      </c>
      <c r="B28" s="6" t="s">
        <v>18</v>
      </c>
      <c r="C28" s="7" t="s">
        <v>42</v>
      </c>
      <c r="D28" s="34" t="s">
        <v>43</v>
      </c>
      <c r="E28" s="97">
        <f>SUM(SUMIFS([1]!Sorgu1[ISLEM_TUTARI_TL],
[1]!Sorgu1[TIP],"NAZIM HESAP",
[1]!Sorgu1[Hesap Kodu],"960.02.01.001",
[1]!Sorgu1[AY],E$5,
[1]!Sorgu1[YIL],2026))*[1]FERIYE!C$95</f>
        <v>52898.687455014748</v>
      </c>
      <c r="F28" s="98"/>
      <c r="G28" s="98"/>
      <c r="H28" s="99">
        <f>SUM(SUMIFS([1]!Sorgu1[ISLEM_TUTARI_TL],
[1]!Sorgu1[TIP],"NAZIM HESAP",
[1]!Sorgu1[Hesap Kodu],"960.02.01.001",
[1]!Sorgu1[AY],H$5,
[1]!Sorgu1[YIL],2026))*[1]FERIYE!F$95</f>
        <v>39350.169655602629</v>
      </c>
      <c r="I28" s="99"/>
      <c r="J28" s="99"/>
      <c r="K28" s="99">
        <f>SUM(SUMIFS([1]!Sorgu1[ISLEM_TUTARI_TL],
[1]!Sorgu1[TIP],"NAZIM HESAP",
[1]!Sorgu1[Hesap Kodu],"960.02.01.001",
[1]!Sorgu1[AY],K$5,
[1]!Sorgu1[YIL],2026))*[1]FERIYE!I$95</f>
        <v>35175.461290239386</v>
      </c>
      <c r="L28" s="99"/>
      <c r="M28" s="99"/>
      <c r="N28" s="99">
        <f>SUM(SUMIFS([1]!Sorgu1[ISLEM_TUTARI_TL],
[1]!Sorgu1[TIP],"NAZIM HESAP",
[1]!Sorgu1[Hesap Kodu],"960.02.01.001",
[1]!Sorgu1[AY],N$5,
[1]!Sorgu1[YIL],2026))*[1]FERIYE!L$95</f>
        <v>35385.908477338802</v>
      </c>
      <c r="O28" s="99"/>
      <c r="P28" s="99"/>
      <c r="Q28" s="99">
        <f>SUM(SUMIFS([1]!Sorgu1[ISLEM_TUTARI_TL],
[1]!Sorgu1[TIP],"NAZIM HESAP",
[1]!Sorgu1[Hesap Kodu],"960.02.01.001",
[1]!Sorgu1[AY],Q$5,
[1]!Sorgu1[YIL],2026))*[1]FERIYE!O$95</f>
        <v>24036.886768750614</v>
      </c>
      <c r="R28" s="99"/>
      <c r="S28" s="99"/>
      <c r="T28" s="99">
        <f>SUM(SUMIFS([1]!Sorgu1[ISLEM_TUTARI_TL],
[1]!Sorgu1[TIP],"NAZIM HESAP",
[1]!Sorgu1[Hesap Kodu],"960.02.01.001",
[1]!Sorgu1[AY],T$5,
[1]!Sorgu1[YIL],2026))*[1]FERIYE!R$95</f>
        <v>22303.052696208964</v>
      </c>
      <c r="U28" s="99"/>
      <c r="V28" s="99"/>
      <c r="W28" s="99">
        <f>SUM(SUMIFS([1]!Sorgu1[ISLEM_TUTARI_TL],
[1]!Sorgu1[TIP],"NAZIM HESAP",
[1]!Sorgu1[Hesap Kodu],"960.02.01.001",
[1]!Sorgu1[AY],W$5,
[1]!Sorgu1[YIL],2026))*[1]FERIYE!U$95</f>
        <v>19414.658864470908</v>
      </c>
      <c r="X28" s="99"/>
      <c r="Y28" s="99"/>
      <c r="Z28" s="99">
        <f>SUM(SUMIFS([1]!Sorgu1[ISLEM_TUTARI_TL],
[1]!Sorgu1[TIP],"NAZIM HESAP",
[1]!Sorgu1[Hesap Kodu],"960.02.01.001",
[1]!Sorgu1[AY],Z$5,
[1]!Sorgu1[YIL],2026))*[1]FERIYE!X$95</f>
        <v>0</v>
      </c>
      <c r="AA28" s="99"/>
      <c r="AB28" s="99"/>
      <c r="AC28" s="99">
        <f>SUM(SUMIFS([1]!Sorgu1[ISLEM_TUTARI_TL],
[1]!Sorgu1[TIP],"NAZIM HESAP",
[1]!Sorgu1[Hesap Kodu],"960.02.01.001",
[1]!Sorgu1[AY],AC$5,
[1]!Sorgu1[YIL],2026))*[1]FERIYE!AA$95</f>
        <v>0</v>
      </c>
      <c r="AD28" s="99"/>
      <c r="AE28" s="99"/>
      <c r="AF28" s="99">
        <f>SUM(SUMIFS([1]!Sorgu1[ISLEM_TUTARI_TL],
[1]!Sorgu1[TIP],"NAZIM HESAP",
[1]!Sorgu1[Hesap Kodu],"960.02.01.001",
[1]!Sorgu1[AY],AF$5,
[1]!Sorgu1[YIL],2026))*[1]FERIYE!AD$95</f>
        <v>0</v>
      </c>
      <c r="AG28" s="99"/>
      <c r="AH28" s="99"/>
      <c r="AI28" s="99">
        <f>SUM(SUMIFS([1]!Sorgu1[ISLEM_TUTARI_TL],
[1]!Sorgu1[TIP],"NAZIM HESAP",
[1]!Sorgu1[Hesap Kodu],"960.02.01.001",
[1]!Sorgu1[AY],AI$5,
[1]!Sorgu1[YIL],2026))*[1]FERIYE!AG$95</f>
        <v>0</v>
      </c>
      <c r="AJ28" s="100"/>
      <c r="AK28" s="100"/>
      <c r="AL28" s="101">
        <f>SUM(SUMIFS([1]!Sorgu1[ISLEM_TUTARI_TL],
[1]!Sorgu1[TIP],"NAZIM HESAP",
[1]!Sorgu1[Hesap Kodu],"960.02.01.001",
[1]!Sorgu1[AY],AL$5,
[1]!Sorgu1[YIL],2026))*[1]FERIYE!AJ$95</f>
        <v>0</v>
      </c>
    </row>
    <row r="29" spans="1:38" x14ac:dyDescent="0.25">
      <c r="A29" s="73" t="s">
        <v>17</v>
      </c>
      <c r="B29" s="6" t="s">
        <v>18</v>
      </c>
      <c r="C29" s="7" t="s">
        <v>44</v>
      </c>
      <c r="D29" s="34" t="s">
        <v>45</v>
      </c>
      <c r="E29" s="102">
        <f>SUM(SUMIFS([1]!Sorgu1[ISLEM_TUTARI_TL],
[1]!Sorgu1[TIP],"NAZIM HESAP",
[1]!Sorgu1[Hesap Kodu],"960.02.01.003",
[1]!Sorgu1[AY],E$5,
[1]!Sorgu1[YIL],2026))*[1]FERIYE!C$95</f>
        <v>6865.4987953974451</v>
      </c>
      <c r="F29" s="103"/>
      <c r="G29" s="103"/>
      <c r="H29" s="104">
        <f>SUM(SUMIFS([1]!Sorgu1[ISLEM_TUTARI_TL],
[1]!Sorgu1[TIP],"NAZIM HESAP",
[1]!Sorgu1[Hesap Kodu],"960.02.01.003",
[1]!Sorgu1[AY],H$5,
[1]!Sorgu1[YIL],2026))*[1]FERIYE!F$95</f>
        <v>8751.8357059150039</v>
      </c>
      <c r="I29" s="104"/>
      <c r="J29" s="104"/>
      <c r="K29" s="104">
        <f>SUM(SUMIFS([1]!Sorgu1[ISLEM_TUTARI_TL],
[1]!Sorgu1[TIP],"NAZIM HESAP",
[1]!Sorgu1[Hesap Kodu],"960.02.01.003",
[1]!Sorgu1[AY],K$5,
[1]!Sorgu1[YIL],2026))*[1]FERIYE!I$95</f>
        <v>5872.7742674272386</v>
      </c>
      <c r="L29" s="104"/>
      <c r="M29" s="104"/>
      <c r="N29" s="104">
        <f>SUM(SUMIFS([1]!Sorgu1[ISLEM_TUTARI_TL],
[1]!Sorgu1[TIP],"NAZIM HESAP",
[1]!Sorgu1[Hesap Kodu],"960.02.01.003",
[1]!Sorgu1[AY],N$5,
[1]!Sorgu1[YIL],2026))*[1]FERIYE!L$95</f>
        <v>4793.5391949184723</v>
      </c>
      <c r="O29" s="104"/>
      <c r="P29" s="104"/>
      <c r="Q29" s="104">
        <f>SUM(SUMIFS([1]!Sorgu1[ISLEM_TUTARI_TL],
[1]!Sorgu1[TIP],"NAZIM HESAP",
[1]!Sorgu1[Hesap Kodu],"960.02.01.003",
[1]!Sorgu1[AY],Q$5,
[1]!Sorgu1[YIL],2026))*[1]FERIYE!O$95</f>
        <v>13477.402585121217</v>
      </c>
      <c r="R29" s="104"/>
      <c r="S29" s="104"/>
      <c r="T29" s="104">
        <f>SUM(SUMIFS([1]!Sorgu1[ISLEM_TUTARI_TL],
[1]!Sorgu1[TIP],"NAZIM HESAP",
[1]!Sorgu1[Hesap Kodu],"960.02.01.003",
[1]!Sorgu1[AY],T$5,
[1]!Sorgu1[YIL],2026))*[1]FERIYE!R$95</f>
        <v>901.36826062227715</v>
      </c>
      <c r="U29" s="104"/>
      <c r="V29" s="104"/>
      <c r="W29" s="104">
        <f>SUM(SUMIFS([1]!Sorgu1[ISLEM_TUTARI_TL],
[1]!Sorgu1[TIP],"NAZIM HESAP",
[1]!Sorgu1[Hesap Kodu],"960.02.01.003",
[1]!Sorgu1[AY],W$5,
[1]!Sorgu1[YIL],2026))*[1]FERIYE!U$95</f>
        <v>852.96106478938304</v>
      </c>
      <c r="X29" s="104"/>
      <c r="Y29" s="104"/>
      <c r="Z29" s="104">
        <f>SUM(SUMIFS([1]!Sorgu1[ISLEM_TUTARI_TL],
[1]!Sorgu1[TIP],"NAZIM HESAP",
[1]!Sorgu1[Hesap Kodu],"960.02.01.003",
[1]!Sorgu1[AY],Z$5,
[1]!Sorgu1[YIL],2026))*[1]FERIYE!X$95</f>
        <v>0</v>
      </c>
      <c r="AA29" s="104"/>
      <c r="AB29" s="104"/>
      <c r="AC29" s="104">
        <f>SUM(SUMIFS([1]!Sorgu1[ISLEM_TUTARI_TL],
[1]!Sorgu1[TIP],"NAZIM HESAP",
[1]!Sorgu1[Hesap Kodu],"960.02.01.003",
[1]!Sorgu1[AY],AC$5,
[1]!Sorgu1[YIL],2026))*[1]FERIYE!AA$95</f>
        <v>0</v>
      </c>
      <c r="AD29" s="104"/>
      <c r="AE29" s="104"/>
      <c r="AF29" s="104">
        <f>SUM(SUMIFS([1]!Sorgu1[ISLEM_TUTARI_TL],
[1]!Sorgu1[TIP],"NAZIM HESAP",
[1]!Sorgu1[Hesap Kodu],"960.02.01.003",
[1]!Sorgu1[AY],AF$5,
[1]!Sorgu1[YIL],2026))*[1]FERIYE!AD$95</f>
        <v>0</v>
      </c>
      <c r="AG29" s="104"/>
      <c r="AH29" s="104"/>
      <c r="AI29" s="104">
        <f>SUM(SUMIFS([1]!Sorgu1[ISLEM_TUTARI_TL],
[1]!Sorgu1[TIP],"NAZIM HESAP",
[1]!Sorgu1[Hesap Kodu],"960.02.01.003",
[1]!Sorgu1[AY],AI$5,
[1]!Sorgu1[YIL],2026))*[1]FERIYE!AG$95</f>
        <v>0</v>
      </c>
      <c r="AJ29" s="105"/>
      <c r="AK29" s="105"/>
      <c r="AL29" s="106">
        <f>SUM(SUMIFS([1]!Sorgu1[ISLEM_TUTARI_TL],
[1]!Sorgu1[TIP],"NAZIM HESAP",
[1]!Sorgu1[Hesap Kodu],"960.02.01.003",
[1]!Sorgu1[AY],AL$5,
[1]!Sorgu1[YIL],2026))*[1]FERIYE!AJ$95</f>
        <v>0</v>
      </c>
    </row>
    <row r="30" spans="1:38" x14ac:dyDescent="0.25">
      <c r="A30" s="73" t="s">
        <v>17</v>
      </c>
      <c r="B30" s="6" t="s">
        <v>18</v>
      </c>
      <c r="C30" s="7" t="s">
        <v>46</v>
      </c>
      <c r="D30" s="34" t="s">
        <v>45</v>
      </c>
      <c r="E30" s="107">
        <f>SUM(SUMIFS([1]!Sorgu1[ISLEM_TUTARI_TL],
[1]!Sorgu1[TIP],"NAZIM HESAP",
[1]!Sorgu1[Hesap Kodu],"960.02.01.002",
[1]!Sorgu1[AY],E$5,
[1]!Sorgu1[YIL],2026))*[1]FERIYE!C$95</f>
        <v>332.31014763376538</v>
      </c>
      <c r="F30" s="108"/>
      <c r="G30" s="108"/>
      <c r="H30" s="109">
        <f>SUM(SUMIFS([1]!Sorgu1[ISLEM_TUTARI_TL],
[1]!Sorgu1[TIP],"NAZIM HESAP",
[1]!Sorgu1[Hesap Kodu],"960.02.01.002",
[1]!Sorgu1[AY],H$5,
[1]!Sorgu1[YIL],2026))*[1]FERIYE!F$95</f>
        <v>301.73575925410483</v>
      </c>
      <c r="I30" s="109"/>
      <c r="J30" s="109"/>
      <c r="K30" s="109">
        <f>SUM(SUMIFS([1]!Sorgu1[ISLEM_TUTARI_TL],
[1]!Sorgu1[TIP],"NAZIM HESAP",
[1]!Sorgu1[Hesap Kodu],"960.02.01.002",
[1]!Sorgu1[AY],K$5,
[1]!Sorgu1[YIL],2026))*[1]FERIYE!I$95</f>
        <v>221.09144848003933</v>
      </c>
      <c r="L30" s="109"/>
      <c r="M30" s="109"/>
      <c r="N30" s="109">
        <f>SUM(SUMIFS([1]!Sorgu1[ISLEM_TUTARI_TL],
[1]!Sorgu1[TIP],"NAZIM HESAP",
[1]!Sorgu1[Hesap Kodu],"960.02.01.002",
[1]!Sorgu1[AY],N$5,
[1]!Sorgu1[YIL],2026))*[1]FERIYE!L$95</f>
        <v>225.28242923204698</v>
      </c>
      <c r="O30" s="109"/>
      <c r="P30" s="109"/>
      <c r="Q30" s="109">
        <f>SUM(SUMIFS([1]!Sorgu1[ISLEM_TUTARI_TL],
[1]!Sorgu1[TIP],"NAZIM HESAP",
[1]!Sorgu1[Hesap Kodu],"960.02.01.002",
[1]!Sorgu1[AY],Q$5,
[1]!Sorgu1[YIL],2026))*[1]FERIYE!O$95</f>
        <v>368.09083728986411</v>
      </c>
      <c r="R30" s="109"/>
      <c r="S30" s="109"/>
      <c r="T30" s="109">
        <f>SUM(SUMIFS([1]!Sorgu1[ISLEM_TUTARI_TL],
[1]!Sorgu1[TIP],"NAZIM HESAP",
[1]!Sorgu1[Hesap Kodu],"960.02.01.002",
[1]!Sorgu1[AY],T$5,
[1]!Sorgu1[YIL],2026))*[1]FERIYE!R$95</f>
        <v>236.07869019399365</v>
      </c>
      <c r="U30" s="109"/>
      <c r="V30" s="109"/>
      <c r="W30" s="109">
        <f>SUM(SUMIFS([1]!Sorgu1[ISLEM_TUTARI_TL],
[1]!Sorgu1[TIP],"NAZIM HESAP",
[1]!Sorgu1[Hesap Kodu],"960.02.01.002",
[1]!Sorgu1[AY],W$5,
[1]!Sorgu1[YIL],2026))*[1]FERIYE!U$95</f>
        <v>280.2281345522066</v>
      </c>
      <c r="X30" s="109"/>
      <c r="Y30" s="109"/>
      <c r="Z30" s="109">
        <f>SUM(SUMIFS([1]!Sorgu1[ISLEM_TUTARI_TL],
[1]!Sorgu1[TIP],"NAZIM HESAP",
[1]!Sorgu1[Hesap Kodu],"960.02.01.002",
[1]!Sorgu1[AY],Z$5,
[1]!Sorgu1[YIL],2026))*[1]FERIYE!X$95</f>
        <v>0</v>
      </c>
      <c r="AA30" s="109"/>
      <c r="AB30" s="109"/>
      <c r="AC30" s="109">
        <f>SUM(SUMIFS([1]!Sorgu1[ISLEM_TUTARI_TL],
[1]!Sorgu1[TIP],"NAZIM HESAP",
[1]!Sorgu1[Hesap Kodu],"960.02.01.002",
[1]!Sorgu1[AY],AC$5,
[1]!Sorgu1[YIL],2026))*[1]FERIYE!AA$95</f>
        <v>0</v>
      </c>
      <c r="AD30" s="109"/>
      <c r="AE30" s="109"/>
      <c r="AF30" s="109">
        <f>SUM(SUMIFS([1]!Sorgu1[ISLEM_TUTARI_TL],
[1]!Sorgu1[TIP],"NAZIM HESAP",
[1]!Sorgu1[Hesap Kodu],"960.02.01.002",
[1]!Sorgu1[AY],AF$5,
[1]!Sorgu1[YIL],2026))*[1]FERIYE!AD$95</f>
        <v>0</v>
      </c>
      <c r="AG30" s="109"/>
      <c r="AH30" s="109"/>
      <c r="AI30" s="109">
        <f>SUM(SUMIFS([1]!Sorgu1[ISLEM_TUTARI_TL],
[1]!Sorgu1[TIP],"NAZIM HESAP",
[1]!Sorgu1[Hesap Kodu],"960.02.01.002",
[1]!Sorgu1[AY],AI$5,
[1]!Sorgu1[YIL],2026))*[1]FERIYE!AG$95</f>
        <v>0</v>
      </c>
      <c r="AJ30" s="110"/>
      <c r="AK30" s="110"/>
      <c r="AL30" s="111">
        <f>SUM(SUMIFS([1]!Sorgu1[ISLEM_TUTARI_TL],
[1]!Sorgu1[TIP],"NAZIM HESAP",
[1]!Sorgu1[Hesap Kodu],"960.02.01.002",
[1]!Sorgu1[AY],AL$5,
[1]!Sorgu1[YIL],2026))*[1]FERIYE!AJ$95</f>
        <v>0</v>
      </c>
    </row>
    <row r="31" spans="1:38" x14ac:dyDescent="0.25">
      <c r="A31" s="73" t="s">
        <v>17</v>
      </c>
      <c r="B31" s="6" t="s">
        <v>18</v>
      </c>
      <c r="C31" s="7" t="s">
        <v>47</v>
      </c>
      <c r="D31" s="8" t="s">
        <v>23</v>
      </c>
      <c r="E31" s="49">
        <f>IFERROR(+E25/E28,0)</f>
        <v>4.0540012956761764</v>
      </c>
      <c r="F31" s="50"/>
      <c r="G31" s="50"/>
      <c r="H31" s="51">
        <f>IFERROR(+H25/H28,0)</f>
        <v>3.5873160418163121</v>
      </c>
      <c r="I31" s="52"/>
      <c r="J31" s="52"/>
      <c r="K31" s="51">
        <f>IFERROR(+K25/K28,0)</f>
        <v>4.2260234708005795</v>
      </c>
      <c r="L31" s="52"/>
      <c r="M31" s="52"/>
      <c r="N31" s="51">
        <f>IFERROR(+N25/N28,0)</f>
        <v>4.2608796642146531</v>
      </c>
      <c r="O31" s="52"/>
      <c r="P31" s="52"/>
      <c r="Q31" s="51">
        <f>IFERROR(+Q25/Q28,0)</f>
        <v>4.2540373719546034</v>
      </c>
      <c r="R31" s="52"/>
      <c r="S31" s="52"/>
      <c r="T31" s="51">
        <f>IFERROR(+T25/T28,0)</f>
        <v>3.9397769371020774</v>
      </c>
      <c r="U31" s="52"/>
      <c r="V31" s="52"/>
      <c r="W31" s="51">
        <f>IFERROR(+W25/W28,0)</f>
        <v>6.4465019925576357</v>
      </c>
      <c r="X31" s="52"/>
      <c r="Y31" s="52"/>
      <c r="Z31" s="51">
        <f>IFERROR(+Z25/Z28,0)</f>
        <v>0</v>
      </c>
      <c r="AA31" s="52"/>
      <c r="AB31" s="52"/>
      <c r="AC31" s="51">
        <f>IFERROR(+AC25/AC28,0)</f>
        <v>0</v>
      </c>
      <c r="AD31" s="52"/>
      <c r="AE31" s="52"/>
      <c r="AF31" s="51">
        <f>IFERROR(+AF25/AF28,0)</f>
        <v>0</v>
      </c>
      <c r="AG31" s="52"/>
      <c r="AH31" s="52"/>
      <c r="AI31" s="51">
        <f>IFERROR(+AI25/AI28,0)</f>
        <v>0</v>
      </c>
      <c r="AJ31" s="53"/>
      <c r="AK31" s="53"/>
      <c r="AL31" s="112">
        <f>IFERROR(+AL25/AL28,0)</f>
        <v>0</v>
      </c>
    </row>
    <row r="32" spans="1:38" x14ac:dyDescent="0.25">
      <c r="A32" s="73" t="s">
        <v>17</v>
      </c>
      <c r="B32" s="6" t="s">
        <v>18</v>
      </c>
      <c r="C32" s="7" t="s">
        <v>48</v>
      </c>
      <c r="D32" s="34" t="s">
        <v>23</v>
      </c>
      <c r="E32" s="49">
        <f>IFERROR(+E26/E29,0)</f>
        <v>14.435261277668815</v>
      </c>
      <c r="F32" s="50"/>
      <c r="G32" s="50"/>
      <c r="H32" s="51">
        <f>IFERROR(+H26/H29,0)</f>
        <v>14.232054911810033</v>
      </c>
      <c r="I32" s="52"/>
      <c r="J32" s="52"/>
      <c r="K32" s="51">
        <f>IFERROR(+K26/K29,0)</f>
        <v>21.624530081879673</v>
      </c>
      <c r="L32" s="52"/>
      <c r="M32" s="52"/>
      <c r="N32" s="51">
        <f>IFERROR(+N26/N29,0)</f>
        <v>23.782338691672251</v>
      </c>
      <c r="O32" s="52"/>
      <c r="P32" s="52"/>
      <c r="Q32" s="51">
        <f>IFERROR(+Q26/Q29,0)</f>
        <v>11.191914520103982</v>
      </c>
      <c r="R32" s="52"/>
      <c r="S32" s="52"/>
      <c r="T32" s="51">
        <f>IFERROR(+T26/T29,0)</f>
        <v>-7.9284804059768827</v>
      </c>
      <c r="U32" s="52"/>
      <c r="V32" s="52"/>
      <c r="W32" s="51">
        <f>IFERROR(+W26/W29,0)</f>
        <v>22.075685231539424</v>
      </c>
      <c r="X32" s="52"/>
      <c r="Y32" s="52"/>
      <c r="Z32" s="51">
        <f>IFERROR(+Z26/Z29,0)</f>
        <v>0</v>
      </c>
      <c r="AA32" s="52"/>
      <c r="AB32" s="52"/>
      <c r="AC32" s="51">
        <f>IFERROR(+AC26/AC29,0)</f>
        <v>0</v>
      </c>
      <c r="AD32" s="52"/>
      <c r="AE32" s="52"/>
      <c r="AF32" s="51">
        <f>IFERROR(+AF26/AF29,0)</f>
        <v>0</v>
      </c>
      <c r="AG32" s="52"/>
      <c r="AH32" s="52"/>
      <c r="AI32" s="51">
        <f>IFERROR(+AI26/AI29,0)</f>
        <v>0</v>
      </c>
      <c r="AJ32" s="53"/>
      <c r="AK32" s="53"/>
      <c r="AL32" s="112">
        <f>IFERROR(+AL26/AL29,0)</f>
        <v>0</v>
      </c>
    </row>
    <row r="33" spans="1:38" x14ac:dyDescent="0.25">
      <c r="A33" s="73" t="s">
        <v>17</v>
      </c>
      <c r="B33" s="6" t="s">
        <v>18</v>
      </c>
      <c r="C33" s="7" t="s">
        <v>49</v>
      </c>
      <c r="D33" s="34" t="s">
        <v>23</v>
      </c>
      <c r="E33" s="54">
        <f>IFERROR(+E27/E30,0)</f>
        <v>135.33502170767005</v>
      </c>
      <c r="F33" s="55"/>
      <c r="G33" s="55"/>
      <c r="H33" s="56">
        <f>IFERROR(+H27/H30,0)</f>
        <v>128.036738410596</v>
      </c>
      <c r="I33" s="57"/>
      <c r="J33" s="57"/>
      <c r="K33" s="56">
        <f>IFERROR(+K27/K30,0)</f>
        <v>184.77236406619383</v>
      </c>
      <c r="L33" s="57"/>
      <c r="M33" s="57"/>
      <c r="N33" s="56">
        <f>IFERROR(+N27/N30,0)</f>
        <v>183.82736342042759</v>
      </c>
      <c r="O33" s="57"/>
      <c r="P33" s="57"/>
      <c r="Q33" s="56">
        <f>IFERROR(+Q27/Q30,0)</f>
        <v>154.83463535228677</v>
      </c>
      <c r="R33" s="57"/>
      <c r="S33" s="57"/>
      <c r="T33" s="56">
        <f>IFERROR(+T27/T30,0)</f>
        <v>187.20785791173304</v>
      </c>
      <c r="U33" s="57"/>
      <c r="V33" s="57"/>
      <c r="W33" s="56">
        <f>IFERROR(+W27/W30,0)</f>
        <v>218.80421904761903</v>
      </c>
      <c r="X33" s="57"/>
      <c r="Y33" s="57"/>
      <c r="Z33" s="56">
        <f>IFERROR(+Z27/Z30,0)</f>
        <v>0</v>
      </c>
      <c r="AA33" s="57"/>
      <c r="AB33" s="57"/>
      <c r="AC33" s="56">
        <f>IFERROR(+AC27/AC30,0)</f>
        <v>0</v>
      </c>
      <c r="AD33" s="57"/>
      <c r="AE33" s="57"/>
      <c r="AF33" s="56">
        <f>IFERROR(+AF27/AF30,0)</f>
        <v>0</v>
      </c>
      <c r="AG33" s="57"/>
      <c r="AH33" s="57"/>
      <c r="AI33" s="56">
        <f>IFERROR(+AI27/AI30,0)</f>
        <v>0</v>
      </c>
      <c r="AJ33" s="58"/>
      <c r="AK33" s="58"/>
      <c r="AL33" s="113">
        <f>IFERROR(+AL27/AL30,0)</f>
        <v>0</v>
      </c>
    </row>
    <row r="34" spans="1:38" x14ac:dyDescent="0.25">
      <c r="A34" s="73" t="s">
        <v>17</v>
      </c>
      <c r="B34" s="6" t="s">
        <v>18</v>
      </c>
      <c r="C34" s="7" t="s">
        <v>50</v>
      </c>
      <c r="D34" s="8" t="s">
        <v>23</v>
      </c>
      <c r="E34" s="59">
        <f>+[1]FERIYE!C272</f>
        <v>1027949.2627600195</v>
      </c>
      <c r="F34" s="60"/>
      <c r="G34" s="60"/>
      <c r="H34" s="61">
        <f>+[1]FERIYE!F272</f>
        <v>1067814.8764994189</v>
      </c>
      <c r="I34" s="61"/>
      <c r="J34" s="61"/>
      <c r="K34" s="61">
        <f>+[1]FERIYE!I272</f>
        <v>1117217.4258299861</v>
      </c>
      <c r="L34" s="61"/>
      <c r="M34" s="61"/>
      <c r="N34" s="61">
        <f>+[1]FERIYE!L272</f>
        <v>1143803.3075617587</v>
      </c>
      <c r="O34" s="61"/>
      <c r="P34" s="61"/>
      <c r="Q34" s="61">
        <f>+[1]FERIYE!O272</f>
        <v>972551.5014920698</v>
      </c>
      <c r="R34" s="61"/>
      <c r="S34" s="61"/>
      <c r="T34" s="61">
        <f>+[1]FERIYE!R272</f>
        <v>543184.28448833304</v>
      </c>
      <c r="U34" s="61"/>
      <c r="V34" s="61"/>
      <c r="W34" s="61">
        <f>+[1]FERIYE!U272</f>
        <v>570464.41676699196</v>
      </c>
      <c r="X34" s="61"/>
      <c r="Y34" s="61"/>
      <c r="Z34" s="61">
        <f>+[1]FERIYE!X272</f>
        <v>0</v>
      </c>
      <c r="AA34" s="61"/>
      <c r="AB34" s="61"/>
      <c r="AC34" s="61">
        <f>+[1]FERIYE!AA272</f>
        <v>0</v>
      </c>
      <c r="AD34" s="61"/>
      <c r="AE34" s="61"/>
      <c r="AF34" s="61">
        <f>+[1]FERIYE!AD272</f>
        <v>0</v>
      </c>
      <c r="AG34" s="61"/>
      <c r="AH34" s="61"/>
      <c r="AI34" s="61">
        <f>+[1]FERIYE!AG272</f>
        <v>0</v>
      </c>
      <c r="AJ34" s="62"/>
      <c r="AK34" s="62"/>
      <c r="AL34" s="114">
        <f>+[1]FERIYE!AJ272</f>
        <v>0</v>
      </c>
    </row>
    <row r="35" spans="1:38" x14ac:dyDescent="0.25">
      <c r="A35" s="73" t="s">
        <v>17</v>
      </c>
      <c r="B35" s="6" t="s">
        <v>18</v>
      </c>
      <c r="C35" s="7" t="s">
        <v>51</v>
      </c>
      <c r="D35" s="8" t="s">
        <v>20</v>
      </c>
      <c r="E35" s="9"/>
      <c r="F35" s="10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2"/>
      <c r="AK35" s="12"/>
      <c r="AL35" s="74"/>
    </row>
    <row r="36" spans="1:38" x14ac:dyDescent="0.25">
      <c r="A36" s="85" t="s">
        <v>17</v>
      </c>
      <c r="B36" s="32" t="s">
        <v>18</v>
      </c>
      <c r="C36" s="33" t="s">
        <v>52</v>
      </c>
      <c r="D36" s="34" t="s">
        <v>23</v>
      </c>
      <c r="E36" s="24">
        <f>+[1]FERIYE!C280</f>
        <v>2483330.5266057644</v>
      </c>
      <c r="F36" s="25"/>
      <c r="G36" s="25"/>
      <c r="H36" s="26">
        <f>+[1]FERIYE!F280</f>
        <v>2243650.8685225453</v>
      </c>
      <c r="I36" s="26"/>
      <c r="J36" s="26"/>
      <c r="K36" s="26">
        <f>+[1]FERIYE!I280</f>
        <v>2673588.3577567455</v>
      </c>
      <c r="L36" s="26"/>
      <c r="M36" s="26"/>
      <c r="N36" s="26">
        <f>+[1]FERIYE!L280</f>
        <v>2523144.2161476552</v>
      </c>
      <c r="O36" s="26"/>
      <c r="P36" s="26"/>
      <c r="Q36" s="26">
        <f>+[1]FERIYE!O280</f>
        <v>1985528.2021932981</v>
      </c>
      <c r="R36" s="26"/>
      <c r="S36" s="26"/>
      <c r="T36" s="26">
        <f>+[1]FERIYE!R280</f>
        <v>1383000.486503937</v>
      </c>
      <c r="U36" s="26"/>
      <c r="V36" s="26"/>
      <c r="W36" s="26">
        <f>+[1]FERIYE!U280</f>
        <v>1984839.0280903508</v>
      </c>
      <c r="X36" s="26"/>
      <c r="Y36" s="26"/>
      <c r="Z36" s="26">
        <f>+[1]FERIYE!X280</f>
        <v>0</v>
      </c>
      <c r="AA36" s="26"/>
      <c r="AB36" s="26"/>
      <c r="AC36" s="26">
        <f>+[1]FERIYE!AA280</f>
        <v>0</v>
      </c>
      <c r="AD36" s="26"/>
      <c r="AE36" s="26"/>
      <c r="AF36" s="26">
        <f>+[1]FERIYE!AD280</f>
        <v>0</v>
      </c>
      <c r="AG36" s="26"/>
      <c r="AH36" s="26"/>
      <c r="AI36" s="26">
        <f>+[1]FERIYE!AG280</f>
        <v>0</v>
      </c>
      <c r="AJ36" s="27"/>
      <c r="AK36" s="27"/>
      <c r="AL36" s="78">
        <f>+[1]FERIYE!AJ280</f>
        <v>0</v>
      </c>
    </row>
    <row r="37" spans="1:38" x14ac:dyDescent="0.25">
      <c r="A37" s="85" t="s">
        <v>17</v>
      </c>
      <c r="B37" s="32" t="s">
        <v>18</v>
      </c>
      <c r="C37" s="33" t="s">
        <v>53</v>
      </c>
      <c r="D37" s="34" t="s">
        <v>23</v>
      </c>
      <c r="E37" s="28">
        <f>+[1]FERIYE!C287-[1]FERIYE!C272-[1]FERIYE!C280-[1]FERIYE!C245-[1]FERIYE!C246-[1]FERIYE!C247</f>
        <v>1807293.644335387</v>
      </c>
      <c r="F37" s="29"/>
      <c r="G37" s="29"/>
      <c r="H37" s="30">
        <f>+[1]FERIYE!F287-[1]FERIYE!F272-[1]FERIYE!F280-[1]FERIYE!F245-[1]FERIYE!F246-[1]FERIYE!F247</f>
        <v>1932100.8055435685</v>
      </c>
      <c r="I37" s="30"/>
      <c r="J37" s="30"/>
      <c r="K37" s="30">
        <f>+[1]FERIYE!I287-[1]FERIYE!I272-[1]FERIYE!I280-[1]FERIYE!I245-[1]FERIYE!I246-[1]FERIYE!I247</f>
        <v>2072036.4193392242</v>
      </c>
      <c r="L37" s="30"/>
      <c r="M37" s="30"/>
      <c r="N37" s="30">
        <f>+[1]FERIYE!L287-[1]FERIYE!L272-[1]FERIYE!L280-[1]FERIYE!L245-[1]FERIYE!L246-[1]FERIYE!L247</f>
        <v>2435080.0571491211</v>
      </c>
      <c r="O37" s="30"/>
      <c r="P37" s="30"/>
      <c r="Q37" s="30">
        <f>+[1]FERIYE!O287-[1]FERIYE!O272-[1]FERIYE!O280-[1]FERIYE!O245-[1]FERIYE!O246-[1]FERIYE!O247</f>
        <v>2300400.1539067891</v>
      </c>
      <c r="R37" s="30"/>
      <c r="S37" s="30"/>
      <c r="T37" s="30">
        <f>+[1]FERIYE!R287-[1]FERIYE!R272-[1]FERIYE!R280-[1]FERIYE!R245-[1]FERIYE!R246-[1]FERIYE!R247</f>
        <v>1869889.1249999402</v>
      </c>
      <c r="U37" s="30"/>
      <c r="V37" s="30"/>
      <c r="W37" s="30">
        <f>+[1]FERIYE!U287-[1]FERIYE!U272-[1]FERIYE!U280-[1]FERIYE!U245-[1]FERIYE!U246-[1]FERIYE!U247</f>
        <v>1722156.6928513544</v>
      </c>
      <c r="X37" s="30"/>
      <c r="Y37" s="30"/>
      <c r="Z37" s="30">
        <f>+[1]FERIYE!X287-[1]FERIYE!X272-[1]FERIYE!X280-[1]FERIYE!X245-[1]FERIYE!X246-[1]FERIYE!X247</f>
        <v>0</v>
      </c>
      <c r="AA37" s="30"/>
      <c r="AB37" s="30"/>
      <c r="AC37" s="30">
        <f>+[1]FERIYE!AA287-[1]FERIYE!AA272-[1]FERIYE!AA280-[1]FERIYE!AA245-[1]FERIYE!AA246-[1]FERIYE!AA247</f>
        <v>0</v>
      </c>
      <c r="AD37" s="30"/>
      <c r="AE37" s="30"/>
      <c r="AF37" s="30">
        <f>+[1]FERIYE!AD287-[1]FERIYE!AD272-[1]FERIYE!AD280-[1]FERIYE!AD245-[1]FERIYE!AD246-[1]FERIYE!AD247</f>
        <v>0</v>
      </c>
      <c r="AG37" s="30"/>
      <c r="AH37" s="30"/>
      <c r="AI37" s="30">
        <f>+[1]FERIYE!AG287-[1]FERIYE!AG272-[1]FERIYE!AG280-[1]FERIYE!AG245-[1]FERIYE!AG246-[1]FERIYE!AG247</f>
        <v>0</v>
      </c>
      <c r="AJ37" s="31"/>
      <c r="AK37" s="31"/>
      <c r="AL37" s="79">
        <f>+[1]FERIYE!AJ287-[1]FERIYE!AJ272-[1]FERIYE!AJ280-[1]FERIYE!AJ245-[1]FERIYE!AJ246-[1]FERIYE!AJ247</f>
        <v>0</v>
      </c>
    </row>
    <row r="38" spans="1:38" x14ac:dyDescent="0.25">
      <c r="A38" s="85" t="s">
        <v>17</v>
      </c>
      <c r="B38" s="32" t="s">
        <v>18</v>
      </c>
      <c r="C38" s="33" t="s">
        <v>54</v>
      </c>
      <c r="D38" s="34" t="s">
        <v>23</v>
      </c>
      <c r="E38" s="59">
        <f>+E13+E14+E23+E25+E26+E27+E34+E36+E37</f>
        <v>12099364.560926914</v>
      </c>
      <c r="F38" s="60"/>
      <c r="G38" s="60"/>
      <c r="H38" s="61">
        <f>+H13+H14+H23+H25+H26+H27+H34+H36+H37</f>
        <v>13184450.945976928</v>
      </c>
      <c r="I38" s="61"/>
      <c r="J38" s="61"/>
      <c r="K38" s="61">
        <f>+K13+K14+K23+K25+K26+K27+K34+K36+K37</f>
        <v>14498744.279802538</v>
      </c>
      <c r="L38" s="61"/>
      <c r="M38" s="61"/>
      <c r="N38" s="61">
        <f>+N13+N14+N23+N25+N26+N27+N34+N36+N37</f>
        <v>14834375.641920401</v>
      </c>
      <c r="O38" s="61"/>
      <c r="P38" s="61"/>
      <c r="Q38" s="61">
        <f>+Q13+Q14+Q23+Q25+Q26+Q27+Q34+Q36+Q37</f>
        <v>14848716.259815672</v>
      </c>
      <c r="R38" s="61"/>
      <c r="S38" s="61"/>
      <c r="T38" s="61">
        <f>+T13+T14+T23+T25+T26+T27+T34+T36+T37</f>
        <v>11523368.14474063</v>
      </c>
      <c r="U38" s="61"/>
      <c r="V38" s="61"/>
      <c r="W38" s="61">
        <f>+W13+W14+W23+W25+W26+W27+W34+W36+W37</f>
        <v>11225113.664775573</v>
      </c>
      <c r="X38" s="61"/>
      <c r="Y38" s="61"/>
      <c r="Z38" s="61">
        <f>+Z13+Z14+Z23+Z25+Z26+Z27+Z34+Z36+Z37</f>
        <v>0</v>
      </c>
      <c r="AA38" s="61"/>
      <c r="AB38" s="61"/>
      <c r="AC38" s="61">
        <f>+AC13+AC14+AC23+AC25+AC26+AC27+AC34+AC36+AC37</f>
        <v>0</v>
      </c>
      <c r="AD38" s="61"/>
      <c r="AE38" s="61"/>
      <c r="AF38" s="61">
        <f>+AF13+AF14+AF23+AF25+AF26+AF27+AF34+AF36+AF37</f>
        <v>0</v>
      </c>
      <c r="AG38" s="61"/>
      <c r="AH38" s="61"/>
      <c r="AI38" s="61">
        <f>+AI13+AI14+AI23+AI25+AI26+AI27+AI34+AI36+AI37</f>
        <v>0</v>
      </c>
      <c r="AJ38" s="62"/>
      <c r="AK38" s="62"/>
      <c r="AL38" s="114">
        <f>+AL13+AL14+AL23+AL25+AL26+AL27+AL34+AL36+AL37</f>
        <v>0</v>
      </c>
    </row>
    <row r="39" spans="1:38" ht="15.75" thickBot="1" x14ac:dyDescent="0.3">
      <c r="A39" s="115" t="s">
        <v>17</v>
      </c>
      <c r="B39" s="116" t="s">
        <v>18</v>
      </c>
      <c r="C39" s="117" t="s">
        <v>55</v>
      </c>
      <c r="D39" s="118" t="s">
        <v>23</v>
      </c>
      <c r="E39" s="119">
        <f>+E38-[1]FERIYE!C289</f>
        <v>0</v>
      </c>
      <c r="F39" s="120"/>
      <c r="G39" s="120"/>
      <c r="H39" s="121">
        <f>+H38-[1]FERIYE!F289</f>
        <v>0</v>
      </c>
      <c r="I39" s="121"/>
      <c r="J39" s="121"/>
      <c r="K39" s="121">
        <f>+K38-[1]FERIYE!I289</f>
        <v>0</v>
      </c>
      <c r="L39" s="121"/>
      <c r="M39" s="121"/>
      <c r="N39" s="121">
        <f>+N38-[1]FERIYE!L289</f>
        <v>0</v>
      </c>
      <c r="O39" s="121"/>
      <c r="P39" s="121"/>
      <c r="Q39" s="121">
        <f>+Q38-[1]FERIYE!O289</f>
        <v>0</v>
      </c>
      <c r="R39" s="121"/>
      <c r="S39" s="121"/>
      <c r="T39" s="121">
        <f>+T38-[1]FERIYE!R289</f>
        <v>0</v>
      </c>
      <c r="U39" s="121"/>
      <c r="V39" s="121"/>
      <c r="W39" s="121">
        <f>+W38-[1]FERIYE!U289</f>
        <v>0</v>
      </c>
      <c r="X39" s="121"/>
      <c r="Y39" s="121"/>
      <c r="Z39" s="121">
        <f>+Z38-[1]FERIYE!X289</f>
        <v>0</v>
      </c>
      <c r="AA39" s="121"/>
      <c r="AB39" s="121"/>
      <c r="AC39" s="121">
        <f>+AC38-[1]FERIYE!AA289</f>
        <v>0</v>
      </c>
      <c r="AD39" s="121"/>
      <c r="AE39" s="121"/>
      <c r="AF39" s="121">
        <f>+AF38-[1]FERIYE!AD289</f>
        <v>0</v>
      </c>
      <c r="AG39" s="121"/>
      <c r="AH39" s="121"/>
      <c r="AI39" s="121">
        <f>+AI38-[1]FERIYE!AG289</f>
        <v>0</v>
      </c>
      <c r="AJ39" s="122"/>
      <c r="AK39" s="122"/>
      <c r="AL39" s="123">
        <f>+AL38-[1]FERIYE!AJ289</f>
        <v>0</v>
      </c>
    </row>
    <row r="40" spans="1:38" x14ac:dyDescent="0.25">
      <c r="A40" s="64" t="s">
        <v>17</v>
      </c>
      <c r="B40" s="65" t="s">
        <v>56</v>
      </c>
      <c r="C40" s="66" t="s">
        <v>19</v>
      </c>
      <c r="D40" s="67" t="s">
        <v>20</v>
      </c>
      <c r="E40" s="68">
        <f>+[1]FERIYE!C302</f>
        <v>2393</v>
      </c>
      <c r="F40" s="69"/>
      <c r="G40" s="69"/>
      <c r="H40" s="70">
        <f>+[1]FERIYE!F302</f>
        <v>2944</v>
      </c>
      <c r="I40" s="70"/>
      <c r="J40" s="70"/>
      <c r="K40" s="70">
        <f>+[1]FERIYE!I302</f>
        <v>2371</v>
      </c>
      <c r="L40" s="70"/>
      <c r="M40" s="70"/>
      <c r="N40" s="70">
        <f>+[1]FERIYE!L302</f>
        <v>2554</v>
      </c>
      <c r="O40" s="70"/>
      <c r="P40" s="70"/>
      <c r="Q40" s="70">
        <f>+[1]FERIYE!O302</f>
        <v>2653</v>
      </c>
      <c r="R40" s="70"/>
      <c r="S40" s="70"/>
      <c r="T40" s="70">
        <f>+[1]FERIYE!R302</f>
        <v>5775</v>
      </c>
      <c r="U40" s="70"/>
      <c r="V40" s="70"/>
      <c r="W40" s="70">
        <f>+[1]FERIYE!U302</f>
        <v>5711</v>
      </c>
      <c r="X40" s="70"/>
      <c r="Y40" s="70"/>
      <c r="Z40" s="70">
        <f>+[1]FERIYE!X302</f>
        <v>0</v>
      </c>
      <c r="AA40" s="70"/>
      <c r="AB40" s="70"/>
      <c r="AC40" s="70">
        <f>+[1]FERIYE!AA302</f>
        <v>0</v>
      </c>
      <c r="AD40" s="70"/>
      <c r="AE40" s="70"/>
      <c r="AF40" s="70">
        <f>+[1]FERIYE!AD302</f>
        <v>0</v>
      </c>
      <c r="AG40" s="70"/>
      <c r="AH40" s="70"/>
      <c r="AI40" s="70">
        <f>+[1]FERIYE!AG302</f>
        <v>0</v>
      </c>
      <c r="AJ40" s="71"/>
      <c r="AK40" s="71"/>
      <c r="AL40" s="72">
        <f>+[1]FERIYE!AJ302</f>
        <v>0</v>
      </c>
    </row>
    <row r="41" spans="1:38" x14ac:dyDescent="0.25">
      <c r="A41" s="73" t="s">
        <v>17</v>
      </c>
      <c r="B41" s="6" t="s">
        <v>56</v>
      </c>
      <c r="C41" s="7" t="s">
        <v>21</v>
      </c>
      <c r="D41" s="8" t="s">
        <v>20</v>
      </c>
      <c r="E41" s="9"/>
      <c r="F41" s="10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2"/>
      <c r="AK41" s="12"/>
      <c r="AL41" s="74"/>
    </row>
    <row r="42" spans="1:38" x14ac:dyDescent="0.25">
      <c r="A42" s="73" t="s">
        <v>17</v>
      </c>
      <c r="B42" s="6" t="s">
        <v>56</v>
      </c>
      <c r="C42" s="7" t="s">
        <v>22</v>
      </c>
      <c r="D42" s="8" t="s">
        <v>23</v>
      </c>
      <c r="E42" s="13">
        <f>+[1]FERIYE!C297</f>
        <v>5396511.3299999991</v>
      </c>
      <c r="F42" s="14"/>
      <c r="G42" s="14"/>
      <c r="H42" s="15">
        <f>+[1]FERIYE!F297</f>
        <v>4334163.6800000006</v>
      </c>
      <c r="I42" s="14"/>
      <c r="J42" s="14"/>
      <c r="K42" s="13">
        <f>+[1]FERIYE!I297</f>
        <v>6360708.7000000002</v>
      </c>
      <c r="L42" s="14"/>
      <c r="M42" s="14"/>
      <c r="N42" s="15">
        <f>+[1]FERIYE!L297</f>
        <v>6993734.1600000001</v>
      </c>
      <c r="O42" s="15"/>
      <c r="P42" s="15"/>
      <c r="Q42" s="15">
        <f>+[1]FERIYE!O297</f>
        <v>12387090.760000002</v>
      </c>
      <c r="R42" s="15"/>
      <c r="S42" s="15"/>
      <c r="T42" s="15">
        <f>+[1]FERIYE!R297</f>
        <v>28837454.559999995</v>
      </c>
      <c r="U42" s="15"/>
      <c r="V42" s="15"/>
      <c r="W42" s="15">
        <f>+[1]FERIYE!U297</f>
        <v>22483794.130000003</v>
      </c>
      <c r="X42" s="15"/>
      <c r="Y42" s="15"/>
      <c r="Z42" s="15">
        <f>+[1]FERIYE!X297</f>
        <v>0</v>
      </c>
      <c r="AA42" s="15"/>
      <c r="AB42" s="15"/>
      <c r="AC42" s="15">
        <f>+[1]FERIYE!AA297</f>
        <v>0</v>
      </c>
      <c r="AD42" s="15"/>
      <c r="AE42" s="15"/>
      <c r="AF42" s="15">
        <f>+[1]FERIYE!AD297</f>
        <v>0</v>
      </c>
      <c r="AG42" s="15"/>
      <c r="AH42" s="15"/>
      <c r="AI42" s="15">
        <f>+[1]FERIYE!AG297</f>
        <v>0</v>
      </c>
      <c r="AJ42" s="16"/>
      <c r="AK42" s="16"/>
      <c r="AL42" s="75">
        <f>+[1]FERIYE!AJ297</f>
        <v>0</v>
      </c>
    </row>
    <row r="43" spans="1:38" x14ac:dyDescent="0.25">
      <c r="A43" s="73" t="s">
        <v>17</v>
      </c>
      <c r="B43" s="6" t="s">
        <v>56</v>
      </c>
      <c r="C43" s="7" t="s">
        <v>24</v>
      </c>
      <c r="D43" s="8" t="s">
        <v>23</v>
      </c>
      <c r="E43" s="13">
        <f>+[1]FERIYE!C298</f>
        <v>1368118.2599999998</v>
      </c>
      <c r="F43" s="17"/>
      <c r="G43" s="17"/>
      <c r="H43" s="18">
        <f>+[1]FERIYE!F298</f>
        <v>1891193.1099999999</v>
      </c>
      <c r="I43" s="18"/>
      <c r="J43" s="18"/>
      <c r="K43" s="18">
        <f>+[1]FERIYE!I298</f>
        <v>1706857.1400000001</v>
      </c>
      <c r="L43" s="18"/>
      <c r="M43" s="18"/>
      <c r="N43" s="18">
        <f>+[1]FERIYE!L298</f>
        <v>2899572.0599999996</v>
      </c>
      <c r="O43" s="18"/>
      <c r="P43" s="18"/>
      <c r="Q43" s="18">
        <f>+[1]FERIYE!O298</f>
        <v>6579819.8500000006</v>
      </c>
      <c r="R43" s="18"/>
      <c r="S43" s="18"/>
      <c r="T43" s="18">
        <f>+[1]FERIYE!R298</f>
        <v>15694114.210000001</v>
      </c>
      <c r="U43" s="18"/>
      <c r="V43" s="18"/>
      <c r="W43" s="18">
        <f>+[1]FERIYE!U298</f>
        <v>9240391.4699999988</v>
      </c>
      <c r="X43" s="18"/>
      <c r="Y43" s="18"/>
      <c r="Z43" s="18">
        <f>+[1]FERIYE!X298</f>
        <v>0</v>
      </c>
      <c r="AA43" s="18"/>
      <c r="AB43" s="18"/>
      <c r="AC43" s="18">
        <f>+[1]FERIYE!AA298</f>
        <v>0</v>
      </c>
      <c r="AD43" s="18"/>
      <c r="AE43" s="18"/>
      <c r="AF43" s="18">
        <f>+[1]FERIYE!AD298</f>
        <v>0</v>
      </c>
      <c r="AG43" s="18"/>
      <c r="AH43" s="18"/>
      <c r="AI43" s="18">
        <f>+[1]FERIYE!AG298</f>
        <v>0</v>
      </c>
      <c r="AJ43" s="19"/>
      <c r="AK43" s="19"/>
      <c r="AL43" s="76">
        <f>+[1]FERIYE!AJ298</f>
        <v>0</v>
      </c>
    </row>
    <row r="44" spans="1:38" x14ac:dyDescent="0.25">
      <c r="A44" s="73" t="s">
        <v>17</v>
      </c>
      <c r="B44" s="6" t="s">
        <v>56</v>
      </c>
      <c r="C44" s="7" t="s">
        <v>25</v>
      </c>
      <c r="D44" s="8" t="s">
        <v>23</v>
      </c>
      <c r="E44" s="20">
        <f>+[1]FERIYE!C300</f>
        <v>3643604.13</v>
      </c>
      <c r="F44" s="21"/>
      <c r="G44" s="21"/>
      <c r="H44" s="22">
        <f>+[1]FERIYE!F300</f>
        <v>1072885.7799999998</v>
      </c>
      <c r="I44" s="22"/>
      <c r="J44" s="22"/>
      <c r="K44" s="22">
        <f>+[1]FERIYE!I300</f>
        <v>677351.05000000028</v>
      </c>
      <c r="L44" s="22"/>
      <c r="M44" s="22"/>
      <c r="N44" s="22">
        <f>+[1]FERIYE!L300</f>
        <v>1635726.7800000003</v>
      </c>
      <c r="O44" s="22"/>
      <c r="P44" s="22"/>
      <c r="Q44" s="22">
        <f>+[1]FERIYE!O300</f>
        <v>-1959905.7999999998</v>
      </c>
      <c r="R44" s="22"/>
      <c r="S44" s="22"/>
      <c r="T44" s="22">
        <f>+[1]FERIYE!R300</f>
        <v>1908158.7200000137</v>
      </c>
      <c r="U44" s="22"/>
      <c r="V44" s="22"/>
      <c r="W44" s="22">
        <f>+[1]FERIYE!U300</f>
        <v>4665976.5200000033</v>
      </c>
      <c r="X44" s="22"/>
      <c r="Y44" s="22"/>
      <c r="Z44" s="22">
        <f>+[1]FERIYE!X300</f>
        <v>0</v>
      </c>
      <c r="AA44" s="22"/>
      <c r="AB44" s="22"/>
      <c r="AC44" s="22">
        <f>+[1]FERIYE!AA300</f>
        <v>0</v>
      </c>
      <c r="AD44" s="22"/>
      <c r="AE44" s="22"/>
      <c r="AF44" s="22">
        <f>+[1]FERIYE!AD300</f>
        <v>0</v>
      </c>
      <c r="AG44" s="22"/>
      <c r="AH44" s="22"/>
      <c r="AI44" s="22">
        <f>+[1]FERIYE!AG300</f>
        <v>0</v>
      </c>
      <c r="AJ44" s="23"/>
      <c r="AK44" s="23"/>
      <c r="AL44" s="77">
        <f>+[1]FERIYE!AJ300</f>
        <v>0</v>
      </c>
    </row>
    <row r="45" spans="1:38" x14ac:dyDescent="0.25">
      <c r="A45" s="73" t="s">
        <v>17</v>
      </c>
      <c r="B45" s="6" t="s">
        <v>56</v>
      </c>
      <c r="C45" s="7" t="s">
        <v>26</v>
      </c>
      <c r="D45" s="8" t="s">
        <v>23</v>
      </c>
      <c r="E45" s="24">
        <f>+[1]FERIYE!C322</f>
        <v>976724.93</v>
      </c>
      <c r="F45" s="25"/>
      <c r="G45" s="25"/>
      <c r="H45" s="26">
        <f>+[1]FERIYE!F322</f>
        <v>952872.27</v>
      </c>
      <c r="I45" s="26"/>
      <c r="J45" s="26"/>
      <c r="K45" s="26">
        <f>+[1]FERIYE!I322</f>
        <v>989124.08000000007</v>
      </c>
      <c r="L45" s="26"/>
      <c r="M45" s="26"/>
      <c r="N45" s="26">
        <f>+[1]FERIYE!L322</f>
        <v>2109038.34</v>
      </c>
      <c r="O45" s="26"/>
      <c r="P45" s="26"/>
      <c r="Q45" s="26">
        <f>+[1]FERIYE!O322</f>
        <v>2012766.3399999999</v>
      </c>
      <c r="R45" s="26"/>
      <c r="S45" s="26"/>
      <c r="T45" s="26">
        <f>+[1]FERIYE!R322</f>
        <v>3867819.04</v>
      </c>
      <c r="U45" s="26"/>
      <c r="V45" s="26"/>
      <c r="W45" s="26">
        <f>+[1]FERIYE!U322</f>
        <v>4856033.04</v>
      </c>
      <c r="X45" s="26"/>
      <c r="Y45" s="26"/>
      <c r="Z45" s="26">
        <f>+[1]FERIYE!X322</f>
        <v>0</v>
      </c>
      <c r="AA45" s="26"/>
      <c r="AB45" s="26"/>
      <c r="AC45" s="26">
        <f>+[1]FERIYE!AA322</f>
        <v>0</v>
      </c>
      <c r="AD45" s="26"/>
      <c r="AE45" s="26"/>
      <c r="AF45" s="26">
        <f>+[1]FERIYE!AD322</f>
        <v>0</v>
      </c>
      <c r="AG45" s="26"/>
      <c r="AH45" s="26"/>
      <c r="AI45" s="26">
        <f>+[1]FERIYE!AG322</f>
        <v>0</v>
      </c>
      <c r="AJ45" s="27"/>
      <c r="AK45" s="27"/>
      <c r="AL45" s="78">
        <f>+[1]FERIYE!AJ322</f>
        <v>0</v>
      </c>
    </row>
    <row r="46" spans="1:38" x14ac:dyDescent="0.25">
      <c r="A46" s="73" t="s">
        <v>17</v>
      </c>
      <c r="B46" s="6" t="s">
        <v>56</v>
      </c>
      <c r="C46" s="7" t="s">
        <v>27</v>
      </c>
      <c r="D46" s="8" t="s">
        <v>23</v>
      </c>
      <c r="E46" s="28">
        <f>+[1]FERIYE!C323</f>
        <v>388320.37000000005</v>
      </c>
      <c r="F46" s="29"/>
      <c r="G46" s="29"/>
      <c r="H46" s="30">
        <f>+[1]FERIYE!F323</f>
        <v>148916.25000000003</v>
      </c>
      <c r="I46" s="30"/>
      <c r="J46" s="30"/>
      <c r="K46" s="30">
        <f>+[1]FERIYE!I323</f>
        <v>308434.43</v>
      </c>
      <c r="L46" s="30"/>
      <c r="M46" s="30"/>
      <c r="N46" s="30">
        <f>+[1]FERIYE!L323</f>
        <v>462113.02999999997</v>
      </c>
      <c r="O46" s="30"/>
      <c r="P46" s="30"/>
      <c r="Q46" s="30">
        <f>+[1]FERIYE!O323</f>
        <v>621222.63</v>
      </c>
      <c r="R46" s="30"/>
      <c r="S46" s="30"/>
      <c r="T46" s="30">
        <f>+[1]FERIYE!R323</f>
        <v>2011619.23</v>
      </c>
      <c r="U46" s="30"/>
      <c r="V46" s="30"/>
      <c r="W46" s="30">
        <f>+[1]FERIYE!U323</f>
        <v>1414116.5499999998</v>
      </c>
      <c r="X46" s="30"/>
      <c r="Y46" s="30"/>
      <c r="Z46" s="30">
        <f>+[1]FERIYE!X323</f>
        <v>0</v>
      </c>
      <c r="AA46" s="30"/>
      <c r="AB46" s="30"/>
      <c r="AC46" s="30">
        <f>+[1]FERIYE!AA323</f>
        <v>0</v>
      </c>
      <c r="AD46" s="30"/>
      <c r="AE46" s="30"/>
      <c r="AF46" s="30">
        <f>+[1]FERIYE!AD323</f>
        <v>0</v>
      </c>
      <c r="AG46" s="30"/>
      <c r="AH46" s="30"/>
      <c r="AI46" s="30">
        <f>+[1]FERIYE!AG323</f>
        <v>0</v>
      </c>
      <c r="AJ46" s="31"/>
      <c r="AK46" s="31"/>
      <c r="AL46" s="79">
        <f>+[1]FERIYE!AJ323</f>
        <v>0</v>
      </c>
    </row>
    <row r="47" spans="1:38" x14ac:dyDescent="0.25">
      <c r="A47" s="73" t="s">
        <v>17</v>
      </c>
      <c r="B47" s="6" t="s">
        <v>56</v>
      </c>
      <c r="C47" s="7" t="s">
        <v>28</v>
      </c>
      <c r="D47" s="8" t="s">
        <v>29</v>
      </c>
      <c r="E47" s="124">
        <f>+[1]FERIYE!C306</f>
        <v>27.377738665907177</v>
      </c>
      <c r="F47" s="125"/>
      <c r="G47" s="125"/>
      <c r="H47" s="126">
        <f>+[1]FERIYE!F306</f>
        <v>23.44900949127101</v>
      </c>
      <c r="I47" s="126"/>
      <c r="J47" s="126"/>
      <c r="K47" s="126">
        <f>+[1]FERIYE!I306</f>
        <v>23.298399791130038</v>
      </c>
      <c r="L47" s="126"/>
      <c r="M47" s="126"/>
      <c r="N47" s="126">
        <f>+[1]FERIYE!L306</f>
        <v>23.010405519575201</v>
      </c>
      <c r="O47" s="126"/>
      <c r="P47" s="126"/>
      <c r="Q47" s="126">
        <f>+[1]FERIYE!O306</f>
        <v>24.1591942296056</v>
      </c>
      <c r="R47" s="126"/>
      <c r="S47" s="126"/>
      <c r="T47" s="126">
        <f>+[1]FERIYE!R306</f>
        <v>41.01235387327413</v>
      </c>
      <c r="U47" s="126"/>
      <c r="V47" s="126"/>
      <c r="W47" s="126">
        <f>+[1]FERIYE!U306</f>
        <v>44.322701594019954</v>
      </c>
      <c r="X47" s="126"/>
      <c r="Y47" s="126"/>
      <c r="Z47" s="126">
        <f>+[1]FERIYE!X306</f>
        <v>0</v>
      </c>
      <c r="AA47" s="126"/>
      <c r="AB47" s="126"/>
      <c r="AC47" s="126">
        <f>+[1]FERIYE!AA306</f>
        <v>0</v>
      </c>
      <c r="AD47" s="126"/>
      <c r="AE47" s="126"/>
      <c r="AF47" s="126">
        <f>+[1]FERIYE!AD306</f>
        <v>0</v>
      </c>
      <c r="AG47" s="126"/>
      <c r="AH47" s="126"/>
      <c r="AI47" s="126">
        <f>+[1]FERIYE!AG306</f>
        <v>0</v>
      </c>
      <c r="AJ47" s="127"/>
      <c r="AK47" s="127"/>
      <c r="AL47" s="128">
        <f>+[1]FERIYE!AJ306</f>
        <v>0</v>
      </c>
    </row>
    <row r="48" spans="1:38" x14ac:dyDescent="0.25">
      <c r="A48" s="85" t="s">
        <v>17</v>
      </c>
      <c r="B48" s="32" t="s">
        <v>56</v>
      </c>
      <c r="C48" s="33" t="s">
        <v>30</v>
      </c>
      <c r="D48" s="34" t="s">
        <v>29</v>
      </c>
      <c r="E48" s="129">
        <f>+[1]FERIYE!C307</f>
        <v>6.6711695679752152</v>
      </c>
      <c r="F48" s="130"/>
      <c r="G48" s="130"/>
      <c r="H48" s="131">
        <f>+[1]FERIYE!F307</f>
        <v>5.9832309307370481</v>
      </c>
      <c r="I48" s="131"/>
      <c r="J48" s="131"/>
      <c r="K48" s="131">
        <f>+[1]FERIYE!I307</f>
        <v>6.293880512295793</v>
      </c>
      <c r="L48" s="131"/>
      <c r="M48" s="131"/>
      <c r="N48" s="131">
        <f>+[1]FERIYE!L307</f>
        <v>6.3257181543364833</v>
      </c>
      <c r="O48" s="131"/>
      <c r="P48" s="131"/>
      <c r="Q48" s="131">
        <f>+[1]FERIYE!O307</f>
        <v>8.2451855720655303</v>
      </c>
      <c r="R48" s="131"/>
      <c r="S48" s="131"/>
      <c r="T48" s="131">
        <f>+[1]FERIYE!R307</f>
        <v>10.668556060789728</v>
      </c>
      <c r="U48" s="131"/>
      <c r="V48" s="131"/>
      <c r="W48" s="131">
        <f>+[1]FERIYE!U307</f>
        <v>10.60427147632986</v>
      </c>
      <c r="X48" s="131"/>
      <c r="Y48" s="131"/>
      <c r="Z48" s="131">
        <f>+[1]FERIYE!X307</f>
        <v>0</v>
      </c>
      <c r="AA48" s="131"/>
      <c r="AB48" s="131"/>
      <c r="AC48" s="131">
        <f>+[1]FERIYE!AA307</f>
        <v>0</v>
      </c>
      <c r="AD48" s="131"/>
      <c r="AE48" s="131"/>
      <c r="AF48" s="131">
        <f>+[1]FERIYE!AD307</f>
        <v>0</v>
      </c>
      <c r="AG48" s="131"/>
      <c r="AH48" s="131"/>
      <c r="AI48" s="131">
        <f>+[1]FERIYE!AG307</f>
        <v>0</v>
      </c>
      <c r="AJ48" s="132"/>
      <c r="AK48" s="132"/>
      <c r="AL48" s="133">
        <f>+[1]FERIYE!AJ307</f>
        <v>0</v>
      </c>
    </row>
    <row r="49" spans="1:38" x14ac:dyDescent="0.25">
      <c r="A49" s="85" t="s">
        <v>17</v>
      </c>
      <c r="B49" s="32" t="s">
        <v>56</v>
      </c>
      <c r="C49" s="33" t="s">
        <v>31</v>
      </c>
      <c r="D49" s="34" t="s">
        <v>29</v>
      </c>
      <c r="E49" s="129">
        <f>+[1]FERIYE!C308</f>
        <v>3.6431998251775757</v>
      </c>
      <c r="F49" s="130"/>
      <c r="G49" s="130"/>
      <c r="H49" s="131">
        <f>+[1]FERIYE!F308</f>
        <v>3.1726827109960771</v>
      </c>
      <c r="I49" s="131"/>
      <c r="J49" s="131"/>
      <c r="K49" s="131">
        <f>+[1]FERIYE!I308</f>
        <v>5.7638695217866731</v>
      </c>
      <c r="L49" s="131"/>
      <c r="M49" s="131"/>
      <c r="N49" s="131">
        <f>+[1]FERIYE!L308</f>
        <v>6.6872942656921941</v>
      </c>
      <c r="O49" s="131"/>
      <c r="P49" s="131"/>
      <c r="Q49" s="131">
        <f>+[1]FERIYE!O308</f>
        <v>9.4459407524634234</v>
      </c>
      <c r="R49" s="131"/>
      <c r="S49" s="131"/>
      <c r="T49" s="131">
        <f>+[1]FERIYE!R308</f>
        <v>22.679642694898135</v>
      </c>
      <c r="U49" s="131"/>
      <c r="V49" s="131"/>
      <c r="W49" s="131">
        <f>+[1]FERIYE!U308</f>
        <v>19.193251540868523</v>
      </c>
      <c r="X49" s="131"/>
      <c r="Y49" s="131"/>
      <c r="Z49" s="131">
        <f>+[1]FERIYE!X308</f>
        <v>0</v>
      </c>
      <c r="AA49" s="131"/>
      <c r="AB49" s="131"/>
      <c r="AC49" s="131">
        <f>+[1]FERIYE!AA308</f>
        <v>0</v>
      </c>
      <c r="AD49" s="131"/>
      <c r="AE49" s="131"/>
      <c r="AF49" s="131">
        <f>+[1]FERIYE!AD308</f>
        <v>0</v>
      </c>
      <c r="AG49" s="131"/>
      <c r="AH49" s="131"/>
      <c r="AI49" s="131">
        <f>+[1]FERIYE!AG308</f>
        <v>0</v>
      </c>
      <c r="AJ49" s="132"/>
      <c r="AK49" s="132"/>
      <c r="AL49" s="133">
        <f>+[1]FERIYE!AJ308</f>
        <v>0</v>
      </c>
    </row>
    <row r="50" spans="1:38" x14ac:dyDescent="0.25">
      <c r="A50" s="85" t="s">
        <v>17</v>
      </c>
      <c r="B50" s="32" t="s">
        <v>56</v>
      </c>
      <c r="C50" s="33" t="s">
        <v>32</v>
      </c>
      <c r="D50" s="34" t="s">
        <v>29</v>
      </c>
      <c r="E50" s="129">
        <f>+[1]FERIYE!C309</f>
        <v>0.34467709434538613</v>
      </c>
      <c r="F50" s="130"/>
      <c r="G50" s="130"/>
      <c r="H50" s="131">
        <f>+[1]FERIYE!F309</f>
        <v>0.77874939269903731</v>
      </c>
      <c r="I50" s="131"/>
      <c r="J50" s="131"/>
      <c r="K50" s="131">
        <f>+[1]FERIYE!I309</f>
        <v>1.7924677248468135</v>
      </c>
      <c r="L50" s="131"/>
      <c r="M50" s="131"/>
      <c r="N50" s="131">
        <f>+[1]FERIYE!L309</f>
        <v>2.4117499386303507</v>
      </c>
      <c r="O50" s="131"/>
      <c r="P50" s="131"/>
      <c r="Q50" s="131">
        <f>+[1]FERIYE!O309</f>
        <v>6.4040276287887608</v>
      </c>
      <c r="R50" s="131"/>
      <c r="S50" s="131"/>
      <c r="T50" s="131">
        <f>+[1]FERIYE!R309</f>
        <v>10.121116409533563</v>
      </c>
      <c r="U50" s="131"/>
      <c r="V50" s="131"/>
      <c r="W50" s="131">
        <f>+[1]FERIYE!U309</f>
        <v>9.7337204242976085</v>
      </c>
      <c r="X50" s="131"/>
      <c r="Y50" s="131"/>
      <c r="Z50" s="131">
        <f>+[1]FERIYE!X309</f>
        <v>0</v>
      </c>
      <c r="AA50" s="131"/>
      <c r="AB50" s="131"/>
      <c r="AC50" s="131">
        <f>+[1]FERIYE!AA309</f>
        <v>0</v>
      </c>
      <c r="AD50" s="131"/>
      <c r="AE50" s="131"/>
      <c r="AF50" s="131">
        <f>+[1]FERIYE!AD309</f>
        <v>0</v>
      </c>
      <c r="AG50" s="131"/>
      <c r="AH50" s="131"/>
      <c r="AI50" s="131">
        <f>+[1]FERIYE!AG309</f>
        <v>0</v>
      </c>
      <c r="AJ50" s="132"/>
      <c r="AK50" s="132"/>
      <c r="AL50" s="133">
        <f>+[1]FERIYE!AJ309</f>
        <v>0</v>
      </c>
    </row>
    <row r="51" spans="1:38" x14ac:dyDescent="0.25">
      <c r="A51" s="85" t="s">
        <v>17</v>
      </c>
      <c r="B51" s="32" t="s">
        <v>56</v>
      </c>
      <c r="C51" s="33" t="s">
        <v>33</v>
      </c>
      <c r="D51" s="34" t="s">
        <v>29</v>
      </c>
      <c r="E51" s="129">
        <f>SUM(E47:E50)</f>
        <v>38.036785153405354</v>
      </c>
      <c r="F51" s="130"/>
      <c r="G51" s="130"/>
      <c r="H51" s="129">
        <f>SUM(H47:H50)</f>
        <v>33.383672525703176</v>
      </c>
      <c r="I51" s="131"/>
      <c r="J51" s="131"/>
      <c r="K51" s="129">
        <f>SUM(K47:K50)</f>
        <v>37.148617550059321</v>
      </c>
      <c r="L51" s="131"/>
      <c r="M51" s="131"/>
      <c r="N51" s="129">
        <f>SUM(N47:N50)</f>
        <v>38.435167878234232</v>
      </c>
      <c r="O51" s="131"/>
      <c r="P51" s="131"/>
      <c r="Q51" s="129">
        <f>SUM(Q47:Q50)</f>
        <v>48.254348182923309</v>
      </c>
      <c r="R51" s="131"/>
      <c r="S51" s="131"/>
      <c r="T51" s="129">
        <f>SUM(T47:T50)</f>
        <v>84.481669038495539</v>
      </c>
      <c r="U51" s="131"/>
      <c r="V51" s="131"/>
      <c r="W51" s="129">
        <f>SUM(W47:W50)</f>
        <v>83.853945035515949</v>
      </c>
      <c r="X51" s="131"/>
      <c r="Y51" s="131"/>
      <c r="Z51" s="129">
        <f>SUM(Z47:Z50)</f>
        <v>0</v>
      </c>
      <c r="AA51" s="131"/>
      <c r="AB51" s="131"/>
      <c r="AC51" s="129">
        <f>SUM(AC47:AC50)</f>
        <v>0</v>
      </c>
      <c r="AD51" s="131"/>
      <c r="AE51" s="131"/>
      <c r="AF51" s="129">
        <f>SUM(AF47:AF50)</f>
        <v>0</v>
      </c>
      <c r="AG51" s="131"/>
      <c r="AH51" s="131"/>
      <c r="AI51" s="129">
        <f>SUM(AI47:AI50)</f>
        <v>0</v>
      </c>
      <c r="AJ51" s="132"/>
      <c r="AK51" s="132"/>
      <c r="AL51" s="134">
        <f>SUM(AL47:AL50)</f>
        <v>0</v>
      </c>
    </row>
    <row r="52" spans="1:38" x14ac:dyDescent="0.25">
      <c r="A52" s="85" t="s">
        <v>17</v>
      </c>
      <c r="B52" s="32" t="s">
        <v>56</v>
      </c>
      <c r="C52" s="33" t="s">
        <v>34</v>
      </c>
      <c r="D52" s="34" t="s">
        <v>23</v>
      </c>
      <c r="E52" s="35">
        <f>+[1]FERIYE!C313+[1]FERIYE!C314+[1]FERIYE!C315+[1]FERIYE!C316</f>
        <v>1993906.3232551892</v>
      </c>
      <c r="F52" s="36"/>
      <c r="G52" s="36"/>
      <c r="H52" s="35">
        <f>+[1]FERIYE!F313+[1]FERIYE!F314+[1]FERIYE!F315+[1]FERIYE!F316</f>
        <v>1892572.8537076646</v>
      </c>
      <c r="I52" s="18"/>
      <c r="J52" s="18"/>
      <c r="K52" s="35">
        <f>+[1]FERIYE!I313+[1]FERIYE!I314+[1]FERIYE!I315+[1]FERIYE!I316</f>
        <v>2094309.9085095914</v>
      </c>
      <c r="L52" s="18"/>
      <c r="M52" s="18"/>
      <c r="N52" s="35">
        <f>+[1]FERIYE!L313+[1]FERIYE!L314+[1]FERIYE!L315+[1]FERIYE!L316</f>
        <v>2126806.6080807252</v>
      </c>
      <c r="O52" s="18"/>
      <c r="P52" s="18"/>
      <c r="Q52" s="35">
        <f>+[1]FERIYE!O313+[1]FERIYE!O314+[1]FERIYE!O315+[1]FERIYE!O316</f>
        <v>2807781.1295743757</v>
      </c>
      <c r="R52" s="18"/>
      <c r="S52" s="18"/>
      <c r="T52" s="35">
        <f>+[1]FERIYE!R313+[1]FERIYE!R314+[1]FERIYE!R315+[1]FERIYE!R316</f>
        <v>5097480.2658480303</v>
      </c>
      <c r="U52" s="18"/>
      <c r="V52" s="18"/>
      <c r="W52" s="35">
        <f>+[1]FERIYE!U313+[1]FERIYE!U314+[1]FERIYE!U315+[1]FERIYE!U316</f>
        <v>4925278.3129364392</v>
      </c>
      <c r="X52" s="18"/>
      <c r="Y52" s="18"/>
      <c r="Z52" s="35">
        <f>+[1]FERIYE!X313+[1]FERIYE!X314+[1]FERIYE!X315+[1]FERIYE!X316</f>
        <v>0</v>
      </c>
      <c r="AA52" s="18"/>
      <c r="AB52" s="18"/>
      <c r="AC52" s="35">
        <f>+[1]FERIYE!AA313+[1]FERIYE!AA314+[1]FERIYE!AA315+[1]FERIYE!AA316</f>
        <v>0</v>
      </c>
      <c r="AD52" s="18"/>
      <c r="AE52" s="18"/>
      <c r="AF52" s="35">
        <f>+[1]FERIYE!AD313+[1]FERIYE!AD314+[1]FERIYE!AD315+[1]FERIYE!AD316</f>
        <v>0</v>
      </c>
      <c r="AG52" s="18"/>
      <c r="AH52" s="18"/>
      <c r="AI52" s="35">
        <f>+[1]FERIYE!AG313+[1]FERIYE!AG314+[1]FERIYE!AG315+[1]FERIYE!AG316</f>
        <v>0</v>
      </c>
      <c r="AJ52" s="19"/>
      <c r="AK52" s="19"/>
      <c r="AL52" s="92">
        <f>+[1]FERIYE!AJ313+[1]FERIYE!AJ314+[1]FERIYE!AJ315+[1]FERIYE!AJ316</f>
        <v>0</v>
      </c>
    </row>
    <row r="53" spans="1:38" x14ac:dyDescent="0.25">
      <c r="A53" s="85" t="s">
        <v>17</v>
      </c>
      <c r="B53" s="32" t="s">
        <v>56</v>
      </c>
      <c r="C53" s="33" t="s">
        <v>35</v>
      </c>
      <c r="D53" s="34" t="s">
        <v>23</v>
      </c>
      <c r="E53" s="35">
        <f>+[1]FERIYE!C317</f>
        <v>652093.83501994633</v>
      </c>
      <c r="F53" s="36"/>
      <c r="G53" s="36"/>
      <c r="H53" s="35">
        <f>+[1]FERIYE!F317</f>
        <v>499040.02213969344</v>
      </c>
      <c r="I53" s="18"/>
      <c r="J53" s="18"/>
      <c r="K53" s="35">
        <f>+[1]FERIYE!I317</f>
        <v>581396.9767628836</v>
      </c>
      <c r="L53" s="18"/>
      <c r="M53" s="18"/>
      <c r="N53" s="35">
        <f>+[1]FERIYE!L317</f>
        <v>683275.89818786271</v>
      </c>
      <c r="O53" s="18"/>
      <c r="P53" s="18"/>
      <c r="Q53" s="35">
        <f>+[1]FERIYE!O317</f>
        <v>719742.85754701297</v>
      </c>
      <c r="R53" s="18"/>
      <c r="S53" s="18"/>
      <c r="T53" s="35">
        <f>+[1]FERIYE!R317</f>
        <v>1147884.5732369954</v>
      </c>
      <c r="U53" s="18"/>
      <c r="V53" s="18"/>
      <c r="W53" s="35">
        <f>+[1]FERIYE!U317</f>
        <v>1499723.577590131</v>
      </c>
      <c r="X53" s="18"/>
      <c r="Y53" s="18"/>
      <c r="Z53" s="35">
        <f>+[1]FERIYE!X317</f>
        <v>0</v>
      </c>
      <c r="AA53" s="18"/>
      <c r="AB53" s="18"/>
      <c r="AC53" s="35">
        <f>+[1]FERIYE!AA317</f>
        <v>0</v>
      </c>
      <c r="AD53" s="18"/>
      <c r="AE53" s="18"/>
      <c r="AF53" s="35">
        <f>+[1]FERIYE!AD317</f>
        <v>0</v>
      </c>
      <c r="AG53" s="18"/>
      <c r="AH53" s="18"/>
      <c r="AI53" s="35">
        <f>+[1]FERIYE!AG317</f>
        <v>0</v>
      </c>
      <c r="AJ53" s="19"/>
      <c r="AK53" s="19"/>
      <c r="AL53" s="92">
        <f>+[1]FERIYE!AJ317</f>
        <v>0</v>
      </c>
    </row>
    <row r="54" spans="1:38" x14ac:dyDescent="0.25">
      <c r="A54" s="85" t="s">
        <v>17</v>
      </c>
      <c r="B54" s="32" t="s">
        <v>56</v>
      </c>
      <c r="C54" s="33" t="s">
        <v>36</v>
      </c>
      <c r="D54" s="34" t="s">
        <v>23</v>
      </c>
      <c r="E54" s="35">
        <f>+[1]FERIYE!C318</f>
        <v>373519.79590498342</v>
      </c>
      <c r="F54" s="36"/>
      <c r="G54" s="36"/>
      <c r="H54" s="35">
        <f>+[1]FERIYE!F318</f>
        <v>333842.30148725107</v>
      </c>
      <c r="I54" s="18"/>
      <c r="J54" s="18"/>
      <c r="K54" s="35">
        <f>+[1]FERIYE!I318</f>
        <v>644301.05144343572</v>
      </c>
      <c r="L54" s="18"/>
      <c r="M54" s="18"/>
      <c r="N54" s="35">
        <f>+[1]FERIYE!L318</f>
        <v>716261.43937439774</v>
      </c>
      <c r="O54" s="18"/>
      <c r="P54" s="18"/>
      <c r="Q54" s="35">
        <f>+[1]FERIYE!O318</f>
        <v>1095314.0502349969</v>
      </c>
      <c r="R54" s="18"/>
      <c r="S54" s="18"/>
      <c r="T54" s="35">
        <f>+[1]FERIYE!R318</f>
        <v>2515333.9477669881</v>
      </c>
      <c r="U54" s="18"/>
      <c r="V54" s="18"/>
      <c r="W54" s="35">
        <f>+[1]FERIYE!U318</f>
        <v>2196589.8719099984</v>
      </c>
      <c r="X54" s="18"/>
      <c r="Y54" s="18"/>
      <c r="Z54" s="35">
        <f>+[1]FERIYE!X318</f>
        <v>0</v>
      </c>
      <c r="AA54" s="18"/>
      <c r="AB54" s="18"/>
      <c r="AC54" s="35">
        <f>+[1]FERIYE!AA318</f>
        <v>0</v>
      </c>
      <c r="AD54" s="18"/>
      <c r="AE54" s="18"/>
      <c r="AF54" s="35">
        <f>+[1]FERIYE!AD318</f>
        <v>0</v>
      </c>
      <c r="AG54" s="18"/>
      <c r="AH54" s="18"/>
      <c r="AI54" s="35">
        <f>+[1]FERIYE!AG318</f>
        <v>0</v>
      </c>
      <c r="AJ54" s="19"/>
      <c r="AK54" s="19"/>
      <c r="AL54" s="92">
        <f>+[1]FERIYE!AJ318</f>
        <v>0</v>
      </c>
    </row>
    <row r="55" spans="1:38" x14ac:dyDescent="0.25">
      <c r="A55" s="85" t="s">
        <v>17</v>
      </c>
      <c r="B55" s="32" t="s">
        <v>56</v>
      </c>
      <c r="C55" s="33" t="s">
        <v>37</v>
      </c>
      <c r="D55" s="34" t="s">
        <v>23</v>
      </c>
      <c r="E55" s="37">
        <f>SUM(E52:E54)</f>
        <v>3019519.9541801191</v>
      </c>
      <c r="F55" s="38"/>
      <c r="G55" s="38"/>
      <c r="H55" s="37">
        <f>SUM(H52:H54)</f>
        <v>2725455.1773346094</v>
      </c>
      <c r="I55" s="39"/>
      <c r="J55" s="39"/>
      <c r="K55" s="37">
        <f>SUM(K52:K54)</f>
        <v>3320007.9367159107</v>
      </c>
      <c r="L55" s="39"/>
      <c r="M55" s="39"/>
      <c r="N55" s="37">
        <f>SUM(N52:N54)</f>
        <v>3526343.9456429854</v>
      </c>
      <c r="O55" s="39"/>
      <c r="P55" s="39"/>
      <c r="Q55" s="37">
        <f>SUM(Q52:Q54)</f>
        <v>4622838.037356386</v>
      </c>
      <c r="R55" s="39"/>
      <c r="S55" s="39"/>
      <c r="T55" s="37">
        <f>SUM(T52:T54)</f>
        <v>8760698.7868520133</v>
      </c>
      <c r="U55" s="39"/>
      <c r="V55" s="39"/>
      <c r="W55" s="37">
        <f>SUM(W52:W54)</f>
        <v>8621591.7624365687</v>
      </c>
      <c r="X55" s="39"/>
      <c r="Y55" s="39"/>
      <c r="Z55" s="37">
        <f>SUM(Z52:Z54)</f>
        <v>0</v>
      </c>
      <c r="AA55" s="39"/>
      <c r="AB55" s="39"/>
      <c r="AC55" s="37">
        <f>SUM(AC52:AC54)</f>
        <v>0</v>
      </c>
      <c r="AD55" s="39"/>
      <c r="AE55" s="39"/>
      <c r="AF55" s="37">
        <f>SUM(AF52:AF54)</f>
        <v>0</v>
      </c>
      <c r="AG55" s="39"/>
      <c r="AH55" s="39"/>
      <c r="AI55" s="37">
        <f>SUM(AI52:AI54)</f>
        <v>0</v>
      </c>
      <c r="AJ55" s="40"/>
      <c r="AK55" s="40"/>
      <c r="AL55" s="93">
        <f>SUM(AL52:AL54)</f>
        <v>0</v>
      </c>
    </row>
    <row r="56" spans="1:38" x14ac:dyDescent="0.25">
      <c r="A56" s="73" t="s">
        <v>17</v>
      </c>
      <c r="B56" s="6" t="s">
        <v>56</v>
      </c>
      <c r="C56" s="7" t="s">
        <v>38</v>
      </c>
      <c r="D56" s="8" t="s">
        <v>23</v>
      </c>
      <c r="E56" s="28">
        <f>IFERROR(E55/E51,0)</f>
        <v>79384.205105719549</v>
      </c>
      <c r="F56" s="29"/>
      <c r="G56" s="29"/>
      <c r="H56" s="28">
        <f>IFERROR(H55/H51,0)</f>
        <v>81640.36402035135</v>
      </c>
      <c r="I56" s="30"/>
      <c r="J56" s="30"/>
      <c r="K56" s="28">
        <f>IFERROR(K55/K51,0)</f>
        <v>89370.968710802248</v>
      </c>
      <c r="L56" s="30"/>
      <c r="M56" s="30"/>
      <c r="N56" s="28">
        <f>IFERROR(N55/N51,0)</f>
        <v>91747.848137797468</v>
      </c>
      <c r="O56" s="30"/>
      <c r="P56" s="30"/>
      <c r="Q56" s="28">
        <f>IFERROR(Q55/Q51,0)</f>
        <v>95801.481346967164</v>
      </c>
      <c r="R56" s="30"/>
      <c r="S56" s="30"/>
      <c r="T56" s="28">
        <f>IFERROR(T55/T51,0)</f>
        <v>103699.4046940532</v>
      </c>
      <c r="U56" s="30"/>
      <c r="V56" s="30"/>
      <c r="W56" s="28">
        <f>IFERROR(W55/W51,0)</f>
        <v>102816.76978685897</v>
      </c>
      <c r="X56" s="30"/>
      <c r="Y56" s="30"/>
      <c r="Z56" s="28">
        <f>IFERROR(Z55/Z51,0)</f>
        <v>0</v>
      </c>
      <c r="AA56" s="30"/>
      <c r="AB56" s="30"/>
      <c r="AC56" s="28">
        <f>IFERROR(AC55/AC51,0)</f>
        <v>0</v>
      </c>
      <c r="AD56" s="30"/>
      <c r="AE56" s="30"/>
      <c r="AF56" s="28">
        <f>IFERROR(AF55/AF51,0)</f>
        <v>0</v>
      </c>
      <c r="AG56" s="30"/>
      <c r="AH56" s="30"/>
      <c r="AI56" s="28">
        <f>IFERROR(AI55/AI51,0)</f>
        <v>0</v>
      </c>
      <c r="AJ56" s="31"/>
      <c r="AK56" s="31"/>
      <c r="AL56" s="94">
        <f>IFERROR(AL55/AL51,0)</f>
        <v>0</v>
      </c>
    </row>
    <row r="57" spans="1:38" x14ac:dyDescent="0.25">
      <c r="A57" s="73" t="s">
        <v>17</v>
      </c>
      <c r="B57" s="6" t="s">
        <v>56</v>
      </c>
      <c r="C57" s="7" t="s">
        <v>39</v>
      </c>
      <c r="D57" s="8" t="s">
        <v>23</v>
      </c>
      <c r="E57" s="41">
        <f>+[1]FERIYE!C342</f>
        <v>165269.49422686256</v>
      </c>
      <c r="F57" s="42"/>
      <c r="G57" s="42"/>
      <c r="H57" s="43">
        <f>+[1]FERIYE!F342</f>
        <v>90556.129632644966</v>
      </c>
      <c r="I57" s="43"/>
      <c r="J57" s="43"/>
      <c r="K57" s="43">
        <f>+[1]FERIYE!I342</f>
        <v>104679.71026154725</v>
      </c>
      <c r="L57" s="43"/>
      <c r="M57" s="43"/>
      <c r="N57" s="43">
        <f>+[1]FERIYE!L342</f>
        <v>105029.76402601026</v>
      </c>
      <c r="O57" s="43"/>
      <c r="P57" s="43"/>
      <c r="Q57" s="43">
        <f>+[1]FERIYE!O342</f>
        <v>89951.052124312293</v>
      </c>
      <c r="R57" s="43"/>
      <c r="S57" s="43"/>
      <c r="T57" s="43">
        <f>+[1]FERIYE!R342</f>
        <v>225347.02833517099</v>
      </c>
      <c r="U57" s="43"/>
      <c r="V57" s="43"/>
      <c r="W57" s="43">
        <f>+[1]FERIYE!U342</f>
        <v>321456.32265440933</v>
      </c>
      <c r="X57" s="43"/>
      <c r="Y57" s="43"/>
      <c r="Z57" s="43">
        <f>+[1]FERIYE!X342</f>
        <v>0</v>
      </c>
      <c r="AA57" s="43"/>
      <c r="AB57" s="43"/>
      <c r="AC57" s="43">
        <f>+[1]FERIYE!AA342</f>
        <v>0</v>
      </c>
      <c r="AD57" s="43"/>
      <c r="AE57" s="43"/>
      <c r="AF57" s="43">
        <f>+[1]FERIYE!AD342</f>
        <v>0</v>
      </c>
      <c r="AG57" s="43"/>
      <c r="AH57" s="43"/>
      <c r="AI57" s="43">
        <f>+[1]FERIYE!AG342</f>
        <v>0</v>
      </c>
      <c r="AJ57" s="44"/>
      <c r="AK57" s="44"/>
      <c r="AL57" s="95">
        <f>+[1]FERIYE!AJ342</f>
        <v>0</v>
      </c>
    </row>
    <row r="58" spans="1:38" x14ac:dyDescent="0.25">
      <c r="A58" s="73" t="s">
        <v>17</v>
      </c>
      <c r="B58" s="6" t="s">
        <v>56</v>
      </c>
      <c r="C58" s="7" t="s">
        <v>40</v>
      </c>
      <c r="D58" s="34" t="s">
        <v>23</v>
      </c>
      <c r="E58" s="45">
        <f>+[1]FERIYE!C343</f>
        <v>76376.660071310398</v>
      </c>
      <c r="F58" s="46"/>
      <c r="G58" s="46"/>
      <c r="H58" s="47">
        <f>+[1]FERIYE!F343</f>
        <v>79903.972414946067</v>
      </c>
      <c r="I58" s="47"/>
      <c r="J58" s="47"/>
      <c r="K58" s="47">
        <f>+[1]FERIYE!I343</f>
        <v>89429.497916243185</v>
      </c>
      <c r="L58" s="47"/>
      <c r="M58" s="47"/>
      <c r="N58" s="47">
        <f>+[1]FERIYE!L343</f>
        <v>79413.367644231141</v>
      </c>
      <c r="O58" s="47"/>
      <c r="P58" s="47"/>
      <c r="Q58" s="47">
        <f>+[1]FERIYE!O343</f>
        <v>132689.73138607788</v>
      </c>
      <c r="R58" s="47"/>
      <c r="S58" s="47"/>
      <c r="T58" s="47">
        <f>+[1]FERIYE!R343</f>
        <v>-18327.706015850228</v>
      </c>
      <c r="U58" s="47"/>
      <c r="V58" s="47"/>
      <c r="W58" s="47">
        <f>+[1]FERIYE!U343</f>
        <v>48362.805641313156</v>
      </c>
      <c r="X58" s="47"/>
      <c r="Y58" s="47"/>
      <c r="Z58" s="47">
        <f>+[1]FERIYE!X343</f>
        <v>0</v>
      </c>
      <c r="AA58" s="47"/>
      <c r="AB58" s="47"/>
      <c r="AC58" s="47">
        <f>+[1]FERIYE!AA343</f>
        <v>0</v>
      </c>
      <c r="AD58" s="47"/>
      <c r="AE58" s="47"/>
      <c r="AF58" s="47">
        <f>+[1]FERIYE!AD343</f>
        <v>0</v>
      </c>
      <c r="AG58" s="47"/>
      <c r="AH58" s="47"/>
      <c r="AI58" s="47">
        <f>+[1]FERIYE!AG343</f>
        <v>0</v>
      </c>
      <c r="AJ58" s="48"/>
      <c r="AK58" s="48"/>
      <c r="AL58" s="96">
        <f>+[1]FERIYE!AJ343</f>
        <v>0</v>
      </c>
    </row>
    <row r="59" spans="1:38" x14ac:dyDescent="0.25">
      <c r="A59" s="73" t="s">
        <v>17</v>
      </c>
      <c r="B59" s="6" t="s">
        <v>56</v>
      </c>
      <c r="C59" s="7" t="s">
        <v>41</v>
      </c>
      <c r="D59" s="34" t="s">
        <v>23</v>
      </c>
      <c r="E59" s="45">
        <f>+[1]FERIYE!C344</f>
        <v>34659.134939086347</v>
      </c>
      <c r="F59" s="46"/>
      <c r="G59" s="46"/>
      <c r="H59" s="47">
        <f>+[1]FERIYE!F344</f>
        <v>24783.519957766235</v>
      </c>
      <c r="I59" s="47"/>
      <c r="J59" s="47"/>
      <c r="K59" s="47">
        <f>+[1]FERIYE!I344</f>
        <v>28767.343961121536</v>
      </c>
      <c r="L59" s="47"/>
      <c r="M59" s="47"/>
      <c r="N59" s="47">
        <f>+[1]FERIYE!L344</f>
        <v>28848.30158586118</v>
      </c>
      <c r="O59" s="47"/>
      <c r="P59" s="47"/>
      <c r="Q59" s="47">
        <f>+[1]FERIYE!O344</f>
        <v>50136.019605986708</v>
      </c>
      <c r="R59" s="47"/>
      <c r="S59" s="47"/>
      <c r="T59" s="47">
        <f>+[1]FERIYE!R344</f>
        <v>113343.53468075211</v>
      </c>
      <c r="U59" s="47"/>
      <c r="V59" s="47"/>
      <c r="W59" s="47">
        <f>+[1]FERIYE!U344</f>
        <v>157483.66553940932</v>
      </c>
      <c r="X59" s="47"/>
      <c r="Y59" s="47"/>
      <c r="Z59" s="47">
        <f>+[1]FERIYE!X344</f>
        <v>0</v>
      </c>
      <c r="AA59" s="47"/>
      <c r="AB59" s="47"/>
      <c r="AC59" s="47">
        <f>+[1]FERIYE!AA344</f>
        <v>0</v>
      </c>
      <c r="AD59" s="47"/>
      <c r="AE59" s="47"/>
      <c r="AF59" s="47">
        <f>+[1]FERIYE!AD344</f>
        <v>0</v>
      </c>
      <c r="AG59" s="47"/>
      <c r="AH59" s="47"/>
      <c r="AI59" s="47">
        <f>+[1]FERIYE!AG344</f>
        <v>0</v>
      </c>
      <c r="AJ59" s="48"/>
      <c r="AK59" s="48"/>
      <c r="AL59" s="96">
        <f>+[1]FERIYE!AJ344</f>
        <v>0</v>
      </c>
    </row>
    <row r="60" spans="1:38" x14ac:dyDescent="0.25">
      <c r="A60" s="73" t="s">
        <v>17</v>
      </c>
      <c r="B60" s="6" t="s">
        <v>56</v>
      </c>
      <c r="C60" s="7" t="s">
        <v>42</v>
      </c>
      <c r="D60" s="34" t="s">
        <v>43</v>
      </c>
      <c r="E60" s="97">
        <f>SUM(SUMIFS([1]!Sorgu1[ISLEM_TUTARI_TL],
[1]!Sorgu1[TIP],"NAZIM HESAP",
[1]!Sorgu1[Hesap Kodu],"960.02.01.001",
[1]!Sorgu1[AY],E$5,
[1]!Sorgu1[YIL],2026))*[1]FERIYE!C$97</f>
        <v>40767.005773562996</v>
      </c>
      <c r="F60" s="98"/>
      <c r="G60" s="98"/>
      <c r="H60" s="99">
        <f>SUM(SUMIFS([1]!Sorgu1[ISLEM_TUTARI_TL],
[1]!Sorgu1[TIP],"NAZIM HESAP",
[1]!Sorgu1[Hesap Kodu],"960.02.01.001",
[1]!Sorgu1[AY],H$5,
[1]!Sorgu1[YIL],2026))*[1]FERIYE!F$97</f>
        <v>25243.421147470191</v>
      </c>
      <c r="I60" s="99"/>
      <c r="J60" s="99"/>
      <c r="K60" s="99">
        <f>SUM(SUMIFS([1]!Sorgu1[ISLEM_TUTARI_TL],
[1]!Sorgu1[TIP],"NAZIM HESAP",
[1]!Sorgu1[Hesap Kodu],"960.02.01.001",
[1]!Sorgu1[AY],K$5,
[1]!Sorgu1[YIL],2026))*[1]FERIYE!I$97</f>
        <v>24770.262395565136</v>
      </c>
      <c r="L60" s="99"/>
      <c r="M60" s="99"/>
      <c r="N60" s="99">
        <f>SUM(SUMIFS([1]!Sorgu1[ISLEM_TUTARI_TL],
[1]!Sorgu1[TIP],"NAZIM HESAP",
[1]!Sorgu1[Hesap Kodu],"960.02.01.001",
[1]!Sorgu1[AY],N$5,
[1]!Sorgu1[YIL],2026))*[1]FERIYE!L$97</f>
        <v>24649.784153284436</v>
      </c>
      <c r="O60" s="99"/>
      <c r="P60" s="99"/>
      <c r="Q60" s="99">
        <f>SUM(SUMIFS([1]!Sorgu1[ISLEM_TUTARI_TL],
[1]!Sorgu1[TIP],"NAZIM HESAP",
[1]!Sorgu1[Hesap Kodu],"960.02.01.001",
[1]!Sorgu1[AY],Q$5,
[1]!Sorgu1[YIL],2026))*[1]FERIYE!O$97</f>
        <v>21144.866454941945</v>
      </c>
      <c r="R60" s="99"/>
      <c r="S60" s="99"/>
      <c r="T60" s="99">
        <f>SUM(SUMIFS([1]!Sorgu1[ISLEM_TUTARI_TL],
[1]!Sorgu1[TIP],"NAZIM HESAP",
[1]!Sorgu1[Hesap Kodu],"960.02.01.001",
[1]!Sorgu1[AY],T$5,
[1]!Sorgu1[YIL],2026))*[1]FERIYE!R$97</f>
        <v>57197.915499481584</v>
      </c>
      <c r="U60" s="99"/>
      <c r="V60" s="99"/>
      <c r="W60" s="99">
        <f>SUM(SUMIFS([1]!Sorgu1[ISLEM_TUTARI_TL],
[1]!Sorgu1[TIP],"NAZIM HESAP",
[1]!Sorgu1[Hesap Kodu],"960.02.01.001",
[1]!Sorgu1[AY],W$5,
[1]!Sorgu1[YIL],2026))*[1]FERIYE!U$97</f>
        <v>49865.232807734261</v>
      </c>
      <c r="X60" s="99"/>
      <c r="Y60" s="99"/>
      <c r="Z60" s="99">
        <f>SUM(SUMIFS([1]!Sorgu1[ISLEM_TUTARI_TL],
[1]!Sorgu1[TIP],"NAZIM HESAP",
[1]!Sorgu1[Hesap Kodu],"960.02.01.001",
[1]!Sorgu1[AY],Z$5,
[1]!Sorgu1[YIL],2026))*[1]FERIYE!X$97</f>
        <v>0</v>
      </c>
      <c r="AA60" s="99"/>
      <c r="AB60" s="99"/>
      <c r="AC60" s="99">
        <f>SUM(SUMIFS([1]!Sorgu1[ISLEM_TUTARI_TL],
[1]!Sorgu1[TIP],"NAZIM HESAP",
[1]!Sorgu1[Hesap Kodu],"960.02.01.001",
[1]!Sorgu1[AY],AC$5,
[1]!Sorgu1[YIL],2026))*[1]FERIYE!AA$97</f>
        <v>0</v>
      </c>
      <c r="AD60" s="99"/>
      <c r="AE60" s="99"/>
      <c r="AF60" s="99">
        <f>SUM(SUMIFS([1]!Sorgu1[ISLEM_TUTARI_TL],
[1]!Sorgu1[TIP],"NAZIM HESAP",
[1]!Sorgu1[Hesap Kodu],"960.02.01.001",
[1]!Sorgu1[AY],AF$5,
[1]!Sorgu1[YIL],2026))*[1]FERIYE!AD$97</f>
        <v>0</v>
      </c>
      <c r="AG60" s="99"/>
      <c r="AH60" s="99"/>
      <c r="AI60" s="99">
        <f>SUM(SUMIFS([1]!Sorgu1[ISLEM_TUTARI_TL],
[1]!Sorgu1[TIP],"NAZIM HESAP",
[1]!Sorgu1[Hesap Kodu],"960.02.01.001",
[1]!Sorgu1[AY],AI$5,
[1]!Sorgu1[YIL],2026))*[1]FERIYE!AG$97</f>
        <v>0</v>
      </c>
      <c r="AJ60" s="100"/>
      <c r="AK60" s="100"/>
      <c r="AL60" s="101">
        <f>SUM(SUMIFS([1]!Sorgu1[ISLEM_TUTARI_TL],
[1]!Sorgu1[TIP],"NAZIM HESAP",
[1]!Sorgu1[Hesap Kodu],"960.02.01.001",
[1]!Sorgu1[AY],AL$5,
[1]!Sorgu1[YIL],2026))*[1]FERIYE!AJ$97</f>
        <v>0</v>
      </c>
    </row>
    <row r="61" spans="1:38" x14ac:dyDescent="0.25">
      <c r="A61" s="73" t="s">
        <v>17</v>
      </c>
      <c r="B61" s="6" t="s">
        <v>56</v>
      </c>
      <c r="C61" s="7" t="s">
        <v>44</v>
      </c>
      <c r="D61" s="34" t="s">
        <v>45</v>
      </c>
      <c r="E61" s="102">
        <f>SUM(SUMIFS([1]!Sorgu1[ISLEM_TUTARI_TL],
[1]!Sorgu1[TIP],"NAZIM HESAP",
[1]!Sorgu1[Hesap Kodu],"960.02.01.003",
[1]!Sorgu1[AY],E$5,
[1]!Sorgu1[YIL],2026))*[1]FERIYE!C$97</f>
        <v>5290.9787084674545</v>
      </c>
      <c r="F61" s="103"/>
      <c r="G61" s="103"/>
      <c r="H61" s="104">
        <f>SUM(SUMIFS([1]!Sorgu1[ISLEM_TUTARI_TL],
[1]!Sorgu1[TIP],"NAZIM HESAP",
[1]!Sorgu1[Hesap Kodu],"960.02.01.003",
[1]!Sorgu1[AY],H$5,
[1]!Sorgu1[YIL],2026))*[1]FERIYE!F$97</f>
        <v>5614.3665064586148</v>
      </c>
      <c r="I61" s="104"/>
      <c r="J61" s="104"/>
      <c r="K61" s="104">
        <f>SUM(SUMIFS([1]!Sorgu1[ISLEM_TUTARI_TL],
[1]!Sorgu1[TIP],"NAZIM HESAP",
[1]!Sorgu1[Hesap Kodu],"960.02.01.003",
[1]!Sorgu1[AY],K$5,
[1]!Sorgu1[YIL],2026))*[1]FERIYE!I$97</f>
        <v>4135.5579787225452</v>
      </c>
      <c r="L61" s="104"/>
      <c r="M61" s="104"/>
      <c r="N61" s="104">
        <f>SUM(SUMIFS([1]!Sorgu1[ISLEM_TUTARI_TL],
[1]!Sorgu1[TIP],"NAZIM HESAP",
[1]!Sorgu1[Hesap Kodu],"960.02.01.003",
[1]!Sorgu1[AY],N$5,
[1]!Sorgu1[YIL],2026))*[1]FERIYE!L$97</f>
        <v>3339.1740263138608</v>
      </c>
      <c r="O61" s="104"/>
      <c r="P61" s="104"/>
      <c r="Q61" s="104">
        <f>SUM(SUMIFS([1]!Sorgu1[ISLEM_TUTARI_TL],
[1]!Sorgu1[TIP],"NAZIM HESAP",
[1]!Sorgu1[Hesap Kodu],"960.02.01.003",
[1]!Sorgu1[AY],Q$5,
[1]!Sorgu1[YIL],2026))*[1]FERIYE!O$97</f>
        <v>11855.856399521992</v>
      </c>
      <c r="R61" s="104"/>
      <c r="S61" s="104"/>
      <c r="T61" s="104">
        <f>SUM(SUMIFS([1]!Sorgu1[ISLEM_TUTARI_TL],
[1]!Sorgu1[TIP],"NAZIM HESAP",
[1]!Sorgu1[Hesap Kodu],"960.02.01.003",
[1]!Sorgu1[AY],T$5,
[1]!Sorgu1[YIL],2026))*[1]FERIYE!R$97</f>
        <v>2311.6290988161977</v>
      </c>
      <c r="U61" s="104"/>
      <c r="V61" s="104"/>
      <c r="W61" s="104">
        <f>SUM(SUMIFS([1]!Sorgu1[ISLEM_TUTARI_TL],
[1]!Sorgu1[TIP],"NAZIM HESAP",
[1]!Sorgu1[Hesap Kodu],"960.02.01.003",
[1]!Sorgu1[AY],W$5,
[1]!Sorgu1[YIL],2026))*[1]FERIYE!U$97</f>
        <v>2190.7725687362786</v>
      </c>
      <c r="X61" s="104"/>
      <c r="Y61" s="104"/>
      <c r="Z61" s="104">
        <f>SUM(SUMIFS([1]!Sorgu1[ISLEM_TUTARI_TL],
[1]!Sorgu1[TIP],"NAZIM HESAP",
[1]!Sorgu1[Hesap Kodu],"960.02.01.003",
[1]!Sorgu1[AY],Z$5,
[1]!Sorgu1[YIL],2026))*[1]FERIYE!X$97</f>
        <v>0</v>
      </c>
      <c r="AA61" s="104"/>
      <c r="AB61" s="104"/>
      <c r="AC61" s="104">
        <f>SUM(SUMIFS([1]!Sorgu1[ISLEM_TUTARI_TL],
[1]!Sorgu1[TIP],"NAZIM HESAP",
[1]!Sorgu1[Hesap Kodu],"960.02.01.003",
[1]!Sorgu1[AY],AC$5,
[1]!Sorgu1[YIL],2026))*[1]FERIYE!AA$97</f>
        <v>0</v>
      </c>
      <c r="AD61" s="104"/>
      <c r="AE61" s="104"/>
      <c r="AF61" s="104">
        <f>SUM(SUMIFS([1]!Sorgu1[ISLEM_TUTARI_TL],
[1]!Sorgu1[TIP],"NAZIM HESAP",
[1]!Sorgu1[Hesap Kodu],"960.02.01.003",
[1]!Sorgu1[AY],AF$5,
[1]!Sorgu1[YIL],2026))*[1]FERIYE!AD$97</f>
        <v>0</v>
      </c>
      <c r="AG61" s="104"/>
      <c r="AH61" s="104"/>
      <c r="AI61" s="104">
        <f>SUM(SUMIFS([1]!Sorgu1[ISLEM_TUTARI_TL],
[1]!Sorgu1[TIP],"NAZIM HESAP",
[1]!Sorgu1[Hesap Kodu],"960.02.01.003",
[1]!Sorgu1[AY],AI$5,
[1]!Sorgu1[YIL],2026))*[1]FERIYE!AG$97</f>
        <v>0</v>
      </c>
      <c r="AJ61" s="105"/>
      <c r="AK61" s="105"/>
      <c r="AL61" s="106">
        <f>SUM(SUMIFS([1]!Sorgu1[ISLEM_TUTARI_TL],
[1]!Sorgu1[TIP],"NAZIM HESAP",
[1]!Sorgu1[Hesap Kodu],"960.02.01.003",
[1]!Sorgu1[AY],AL$5,
[1]!Sorgu1[YIL],2026))*[1]FERIYE!AJ$97</f>
        <v>0</v>
      </c>
    </row>
    <row r="62" spans="1:38" x14ac:dyDescent="0.25">
      <c r="A62" s="73" t="s">
        <v>17</v>
      </c>
      <c r="B62" s="6" t="s">
        <v>56</v>
      </c>
      <c r="C62" s="7" t="s">
        <v>46</v>
      </c>
      <c r="D62" s="34" t="s">
        <v>45</v>
      </c>
      <c r="E62" s="107">
        <f>SUM(SUMIFS([1]!Sorgu1[ISLEM_TUTARI_TL],
[1]!Sorgu1[TIP],"NAZIM HESAP",
[1]!Sorgu1[Hesap Kodu],"960.02.01.002",
[1]!Sorgu1[AY],E$5,
[1]!Sorgu1[YIL],2026))*[1]FERIYE!C$97</f>
        <v>256.09878730393746</v>
      </c>
      <c r="F62" s="108"/>
      <c r="G62" s="108"/>
      <c r="H62" s="109">
        <f>SUM(SUMIFS([1]!Sorgu1[ISLEM_TUTARI_TL],
[1]!Sorgu1[TIP],"NAZIM HESAP",
[1]!Sorgu1[Hesap Kodu],"960.02.01.002",
[1]!Sorgu1[AY],H$5,
[1]!Sorgu1[YIL],2026))*[1]FERIYE!F$97</f>
        <v>193.56569267087181</v>
      </c>
      <c r="I62" s="109"/>
      <c r="J62" s="109"/>
      <c r="K62" s="109">
        <f>SUM(SUMIFS([1]!Sorgu1[ISLEM_TUTARI_TL],
[1]!Sorgu1[TIP],"NAZIM HESAP",
[1]!Sorgu1[Hesap Kodu],"960.02.01.002",
[1]!Sorgu1[AY],K$5,
[1]!Sorgu1[YIL],2026))*[1]FERIYE!I$97</f>
        <v>155.69072846205381</v>
      </c>
      <c r="L62" s="109"/>
      <c r="M62" s="109"/>
      <c r="N62" s="109">
        <f>SUM(SUMIFS([1]!Sorgu1[ISLEM_TUTARI_TL],
[1]!Sorgu1[TIP],"NAZIM HESAP",
[1]!Sorgu1[Hesap Kodu],"960.02.01.002",
[1]!Sorgu1[AY],N$5,
[1]!Sorgu1[YIL],2026))*[1]FERIYE!L$97</f>
        <v>156.93148750593161</v>
      </c>
      <c r="O62" s="109"/>
      <c r="P62" s="109"/>
      <c r="Q62" s="109">
        <f>SUM(SUMIFS([1]!Sorgu1[ISLEM_TUTARI_TL],
[1]!Sorgu1[TIP],"NAZIM HESAP",
[1]!Sorgu1[Hesap Kodu],"960.02.01.002",
[1]!Sorgu1[AY],Q$5,
[1]!Sorgu1[YIL],2026))*[1]FERIYE!O$97</f>
        <v>323.8036469806317</v>
      </c>
      <c r="R62" s="109"/>
      <c r="S62" s="109"/>
      <c r="T62" s="109">
        <f>SUM(SUMIFS([1]!Sorgu1[ISLEM_TUTARI_TL],
[1]!Sorgu1[TIP],"NAZIM HESAP",
[1]!Sorgu1[Hesap Kodu],"960.02.01.002",
[1]!Sorgu1[AY],T$5,
[1]!Sorgu1[YIL],2026))*[1]FERIYE!R$97</f>
        <v>605.44218573449336</v>
      </c>
      <c r="U62" s="109"/>
      <c r="V62" s="109"/>
      <c r="W62" s="109">
        <f>SUM(SUMIFS([1]!Sorgu1[ISLEM_TUTARI_TL],
[1]!Sorgu1[TIP],"NAZIM HESAP",
[1]!Sorgu1[Hesap Kodu],"960.02.01.002",
[1]!Sorgu1[AY],W$5,
[1]!Sorgu1[YIL],2026))*[1]FERIYE!U$97</f>
        <v>719.74693278256973</v>
      </c>
      <c r="X62" s="109"/>
      <c r="Y62" s="109"/>
      <c r="Z62" s="109">
        <f>SUM(SUMIFS([1]!Sorgu1[ISLEM_TUTARI_TL],
[1]!Sorgu1[TIP],"NAZIM HESAP",
[1]!Sorgu1[Hesap Kodu],"960.02.01.002",
[1]!Sorgu1[AY],Z$5,
[1]!Sorgu1[YIL],2026))*[1]FERIYE!X$97</f>
        <v>0</v>
      </c>
      <c r="AA62" s="109"/>
      <c r="AB62" s="109"/>
      <c r="AC62" s="109">
        <f>SUM(SUMIFS([1]!Sorgu1[ISLEM_TUTARI_TL],
[1]!Sorgu1[TIP],"NAZIM HESAP",
[1]!Sorgu1[Hesap Kodu],"960.02.01.002",
[1]!Sorgu1[AY],AC$5,
[1]!Sorgu1[YIL],2026))*[1]FERIYE!AA$97</f>
        <v>0</v>
      </c>
      <c r="AD62" s="109"/>
      <c r="AE62" s="109"/>
      <c r="AF62" s="109">
        <f>SUM(SUMIFS([1]!Sorgu1[ISLEM_TUTARI_TL],
[1]!Sorgu1[TIP],"NAZIM HESAP",
[1]!Sorgu1[Hesap Kodu],"960.02.01.002",
[1]!Sorgu1[AY],AF$5,
[1]!Sorgu1[YIL],2026))*[1]FERIYE!AD$97</f>
        <v>0</v>
      </c>
      <c r="AG62" s="109"/>
      <c r="AH62" s="109"/>
      <c r="AI62" s="109">
        <f>SUM(SUMIFS([1]!Sorgu1[ISLEM_TUTARI_TL],
[1]!Sorgu1[TIP],"NAZIM HESAP",
[1]!Sorgu1[Hesap Kodu],"960.02.01.002",
[1]!Sorgu1[AY],AI$5,
[1]!Sorgu1[YIL],2026))*[1]FERIYE!AG$97</f>
        <v>0</v>
      </c>
      <c r="AJ62" s="110"/>
      <c r="AK62" s="110"/>
      <c r="AL62" s="111">
        <f>SUM(SUMIFS([1]!Sorgu1[ISLEM_TUTARI_TL],
[1]!Sorgu1[TIP],"NAZIM HESAP",
[1]!Sorgu1[Hesap Kodu],"960.02.01.002",
[1]!Sorgu1[AY],AL$5,
[1]!Sorgu1[YIL],2026))*[1]FERIYE!AJ$97</f>
        <v>0</v>
      </c>
    </row>
    <row r="63" spans="1:38" x14ac:dyDescent="0.25">
      <c r="A63" s="73" t="s">
        <v>17</v>
      </c>
      <c r="B63" s="6" t="s">
        <v>56</v>
      </c>
      <c r="C63" s="7" t="s">
        <v>47</v>
      </c>
      <c r="D63" s="8" t="s">
        <v>23</v>
      </c>
      <c r="E63" s="49">
        <f>IFERROR(+E57/E60,0)</f>
        <v>4.0540012956761764</v>
      </c>
      <c r="F63" s="50"/>
      <c r="G63" s="50"/>
      <c r="H63" s="51">
        <f>IFERROR(+H57/H60,0)</f>
        <v>3.5873160418163126</v>
      </c>
      <c r="I63" s="52"/>
      <c r="J63" s="52"/>
      <c r="K63" s="51">
        <f>IFERROR(+K57/K60,0)</f>
        <v>4.2260234708005795</v>
      </c>
      <c r="L63" s="52"/>
      <c r="M63" s="52"/>
      <c r="N63" s="51">
        <f>IFERROR(+N57/N60,0)</f>
        <v>4.2608796642146531</v>
      </c>
      <c r="O63" s="52"/>
      <c r="P63" s="52"/>
      <c r="Q63" s="51">
        <f>IFERROR(+Q57/Q60,0)</f>
        <v>4.2540373719546043</v>
      </c>
      <c r="R63" s="52"/>
      <c r="S63" s="52"/>
      <c r="T63" s="51">
        <f>IFERROR(+T57/T60,0)</f>
        <v>3.9397769371020774</v>
      </c>
      <c r="U63" s="52"/>
      <c r="V63" s="52"/>
      <c r="W63" s="51">
        <f>IFERROR(+W57/W60,0)</f>
        <v>6.4465019925576366</v>
      </c>
      <c r="X63" s="52"/>
      <c r="Y63" s="52"/>
      <c r="Z63" s="51">
        <f>IFERROR(+Z57/Z60,0)</f>
        <v>0</v>
      </c>
      <c r="AA63" s="52"/>
      <c r="AB63" s="52"/>
      <c r="AC63" s="51">
        <f>IFERROR(+AC57/AC60,0)</f>
        <v>0</v>
      </c>
      <c r="AD63" s="52"/>
      <c r="AE63" s="52"/>
      <c r="AF63" s="51">
        <f>IFERROR(+AF57/AF60,0)</f>
        <v>0</v>
      </c>
      <c r="AG63" s="52"/>
      <c r="AH63" s="52"/>
      <c r="AI63" s="51">
        <f>IFERROR(+AI57/AI60,0)</f>
        <v>0</v>
      </c>
      <c r="AJ63" s="53"/>
      <c r="AK63" s="53"/>
      <c r="AL63" s="112">
        <f>IFERROR(+AL57/AL60,0)</f>
        <v>0</v>
      </c>
    </row>
    <row r="64" spans="1:38" x14ac:dyDescent="0.25">
      <c r="A64" s="73" t="s">
        <v>17</v>
      </c>
      <c r="B64" s="6" t="s">
        <v>56</v>
      </c>
      <c r="C64" s="7" t="s">
        <v>48</v>
      </c>
      <c r="D64" s="34" t="s">
        <v>23</v>
      </c>
      <c r="E64" s="49">
        <f>IFERROR(+E58/E61,0)</f>
        <v>14.435261277668815</v>
      </c>
      <c r="F64" s="50"/>
      <c r="G64" s="50"/>
      <c r="H64" s="51">
        <f>IFERROR(+H58/H61,0)</f>
        <v>14.232054911810033</v>
      </c>
      <c r="I64" s="52"/>
      <c r="J64" s="52"/>
      <c r="K64" s="51">
        <f>IFERROR(+K58/K61,0)</f>
        <v>21.624530081879676</v>
      </c>
      <c r="L64" s="52"/>
      <c r="M64" s="52"/>
      <c r="N64" s="51">
        <f>IFERROR(+N58/N61,0)</f>
        <v>23.782338691672248</v>
      </c>
      <c r="O64" s="52"/>
      <c r="P64" s="52"/>
      <c r="Q64" s="51">
        <f>IFERROR(+Q58/Q61,0)</f>
        <v>11.19191452010398</v>
      </c>
      <c r="R64" s="52"/>
      <c r="S64" s="52"/>
      <c r="T64" s="51">
        <f>IFERROR(+T58/T61,0)</f>
        <v>-7.9284804059768854</v>
      </c>
      <c r="U64" s="52"/>
      <c r="V64" s="52"/>
      <c r="W64" s="51">
        <f>IFERROR(+W58/W61,0)</f>
        <v>22.075685231539424</v>
      </c>
      <c r="X64" s="52"/>
      <c r="Y64" s="52"/>
      <c r="Z64" s="51">
        <f>IFERROR(+Z58/Z61,0)</f>
        <v>0</v>
      </c>
      <c r="AA64" s="52"/>
      <c r="AB64" s="52"/>
      <c r="AC64" s="51">
        <f>IFERROR(+AC58/AC61,0)</f>
        <v>0</v>
      </c>
      <c r="AD64" s="52"/>
      <c r="AE64" s="52"/>
      <c r="AF64" s="51">
        <f>IFERROR(+AF58/AF61,0)</f>
        <v>0</v>
      </c>
      <c r="AG64" s="52"/>
      <c r="AH64" s="52"/>
      <c r="AI64" s="51">
        <f>IFERROR(+AI58/AI61,0)</f>
        <v>0</v>
      </c>
      <c r="AJ64" s="53"/>
      <c r="AK64" s="53"/>
      <c r="AL64" s="112">
        <f>IFERROR(+AL58/AL61,0)</f>
        <v>0</v>
      </c>
    </row>
    <row r="65" spans="1:38" x14ac:dyDescent="0.25">
      <c r="A65" s="73" t="s">
        <v>17</v>
      </c>
      <c r="B65" s="6" t="s">
        <v>56</v>
      </c>
      <c r="C65" s="7" t="s">
        <v>49</v>
      </c>
      <c r="D65" s="34" t="s">
        <v>23</v>
      </c>
      <c r="E65" s="54">
        <f>IFERROR(+E59/E62,0)</f>
        <v>135.33502170767002</v>
      </c>
      <c r="F65" s="55"/>
      <c r="G65" s="55"/>
      <c r="H65" s="56">
        <f>IFERROR(+H59/H62,0)</f>
        <v>128.036738410596</v>
      </c>
      <c r="I65" s="57"/>
      <c r="J65" s="57"/>
      <c r="K65" s="56">
        <f>IFERROR(+K59/K62,0)</f>
        <v>184.77236406619386</v>
      </c>
      <c r="L65" s="57"/>
      <c r="M65" s="57"/>
      <c r="N65" s="56">
        <f>IFERROR(+N59/N62,0)</f>
        <v>183.82736342042756</v>
      </c>
      <c r="O65" s="57"/>
      <c r="P65" s="57"/>
      <c r="Q65" s="56">
        <f>IFERROR(+Q59/Q62,0)</f>
        <v>154.8346353522868</v>
      </c>
      <c r="R65" s="57"/>
      <c r="S65" s="57"/>
      <c r="T65" s="56">
        <f>IFERROR(+T59/T62,0)</f>
        <v>187.20785791173304</v>
      </c>
      <c r="U65" s="57"/>
      <c r="V65" s="57"/>
      <c r="W65" s="56">
        <f>IFERROR(+W59/W62,0)</f>
        <v>218.80421904761903</v>
      </c>
      <c r="X65" s="57"/>
      <c r="Y65" s="57"/>
      <c r="Z65" s="56">
        <f>IFERROR(+Z59/Z62,0)</f>
        <v>0</v>
      </c>
      <c r="AA65" s="57"/>
      <c r="AB65" s="57"/>
      <c r="AC65" s="56">
        <f>IFERROR(+AC59/AC62,0)</f>
        <v>0</v>
      </c>
      <c r="AD65" s="57"/>
      <c r="AE65" s="57"/>
      <c r="AF65" s="56">
        <f>IFERROR(+AF59/AF62,0)</f>
        <v>0</v>
      </c>
      <c r="AG65" s="57"/>
      <c r="AH65" s="57"/>
      <c r="AI65" s="56">
        <f>IFERROR(+AI59/AI62,0)</f>
        <v>0</v>
      </c>
      <c r="AJ65" s="58"/>
      <c r="AK65" s="58"/>
      <c r="AL65" s="113">
        <f>IFERROR(+AL59/AL62,0)</f>
        <v>0</v>
      </c>
    </row>
    <row r="66" spans="1:38" x14ac:dyDescent="0.25">
      <c r="A66" s="73" t="s">
        <v>17</v>
      </c>
      <c r="B66" s="6" t="s">
        <v>56</v>
      </c>
      <c r="C66" s="7" t="s">
        <v>50</v>
      </c>
      <c r="D66" s="8" t="s">
        <v>23</v>
      </c>
      <c r="E66" s="59">
        <f>+[1]FERIYE!C369</f>
        <v>1109550.7372399804</v>
      </c>
      <c r="F66" s="60"/>
      <c r="G66" s="60"/>
      <c r="H66" s="61">
        <f>+[1]FERIYE!F369</f>
        <v>1069685.1235005814</v>
      </c>
      <c r="I66" s="61"/>
      <c r="J66" s="61"/>
      <c r="K66" s="61">
        <f>+[1]FERIYE!I369</f>
        <v>1020282.574170014</v>
      </c>
      <c r="L66" s="61"/>
      <c r="M66" s="61"/>
      <c r="N66" s="61">
        <f>+[1]FERIYE!L369</f>
        <v>993696.69243824121</v>
      </c>
      <c r="O66" s="61"/>
      <c r="P66" s="61"/>
      <c r="Q66" s="61">
        <f>+[1]FERIYE!O369</f>
        <v>1164948.49850793</v>
      </c>
      <c r="R66" s="61"/>
      <c r="S66" s="61"/>
      <c r="T66" s="61">
        <f>+[1]FERIYE!R369</f>
        <v>1594315.7155116668</v>
      </c>
      <c r="U66" s="61"/>
      <c r="V66" s="61"/>
      <c r="W66" s="61">
        <f>+[1]FERIYE!U369</f>
        <v>1567035.5832330079</v>
      </c>
      <c r="X66" s="61"/>
      <c r="Y66" s="61"/>
      <c r="Z66" s="61">
        <f>+[1]FERIYE!X369</f>
        <v>0</v>
      </c>
      <c r="AA66" s="61"/>
      <c r="AB66" s="61"/>
      <c r="AC66" s="61">
        <f>+[1]FERIYE!AA369</f>
        <v>0</v>
      </c>
      <c r="AD66" s="61"/>
      <c r="AE66" s="61"/>
      <c r="AF66" s="61">
        <f>+[1]FERIYE!AD369</f>
        <v>0</v>
      </c>
      <c r="AG66" s="61"/>
      <c r="AH66" s="61"/>
      <c r="AI66" s="61">
        <f>+[1]FERIYE!AG369</f>
        <v>0</v>
      </c>
      <c r="AJ66" s="62"/>
      <c r="AK66" s="62"/>
      <c r="AL66" s="114">
        <f>+[1]FERIYE!AJ369</f>
        <v>0</v>
      </c>
    </row>
    <row r="67" spans="1:38" x14ac:dyDescent="0.25">
      <c r="A67" s="73" t="s">
        <v>17</v>
      </c>
      <c r="B67" s="6" t="s">
        <v>56</v>
      </c>
      <c r="C67" s="7" t="s">
        <v>51</v>
      </c>
      <c r="D67" s="8" t="s">
        <v>20</v>
      </c>
      <c r="E67" s="9"/>
      <c r="F67" s="10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2"/>
      <c r="AK67" s="12"/>
      <c r="AL67" s="74"/>
    </row>
    <row r="68" spans="1:38" x14ac:dyDescent="0.25">
      <c r="A68" s="85" t="s">
        <v>17</v>
      </c>
      <c r="B68" s="32" t="s">
        <v>56</v>
      </c>
      <c r="C68" s="33" t="s">
        <v>52</v>
      </c>
      <c r="D68" s="34" t="s">
        <v>23</v>
      </c>
      <c r="E68" s="24">
        <f>+[1]FERIYE!C377</f>
        <v>1883130.7690830377</v>
      </c>
      <c r="F68" s="25"/>
      <c r="G68" s="25"/>
      <c r="H68" s="26">
        <f>+[1]FERIYE!F377</f>
        <v>1414345.874555608</v>
      </c>
      <c r="I68" s="26"/>
      <c r="J68" s="26"/>
      <c r="K68" s="26">
        <f>+[1]FERIYE!I377</f>
        <v>1818080.60317738</v>
      </c>
      <c r="L68" s="26"/>
      <c r="M68" s="26"/>
      <c r="N68" s="26">
        <f>+[1]FERIYE!L377</f>
        <v>1654775.8759358947</v>
      </c>
      <c r="O68" s="26"/>
      <c r="P68" s="26"/>
      <c r="Q68" s="26">
        <f>+[1]FERIYE!O377</f>
        <v>1724363.8784558163</v>
      </c>
      <c r="R68" s="26"/>
      <c r="S68" s="26"/>
      <c r="T68" s="26">
        <f>+[1]FERIYE!R377</f>
        <v>3461283.7541616205</v>
      </c>
      <c r="U68" s="26"/>
      <c r="V68" s="26"/>
      <c r="W68" s="26">
        <f>+[1]FERIYE!U377</f>
        <v>4991621.4109344203</v>
      </c>
      <c r="X68" s="26"/>
      <c r="Y68" s="26"/>
      <c r="Z68" s="26">
        <f>+[1]FERIYE!X377</f>
        <v>0</v>
      </c>
      <c r="AA68" s="26"/>
      <c r="AB68" s="26"/>
      <c r="AC68" s="26">
        <f>+[1]FERIYE!AA377</f>
        <v>0</v>
      </c>
      <c r="AD68" s="26"/>
      <c r="AE68" s="26"/>
      <c r="AF68" s="26">
        <f>+[1]FERIYE!AD377</f>
        <v>0</v>
      </c>
      <c r="AG68" s="26"/>
      <c r="AH68" s="26"/>
      <c r="AI68" s="26">
        <f>+[1]FERIYE!AG377</f>
        <v>0</v>
      </c>
      <c r="AJ68" s="27"/>
      <c r="AK68" s="27"/>
      <c r="AL68" s="78">
        <f>+[1]FERIYE!AJ377</f>
        <v>0</v>
      </c>
    </row>
    <row r="69" spans="1:38" x14ac:dyDescent="0.25">
      <c r="A69" s="85" t="s">
        <v>17</v>
      </c>
      <c r="B69" s="32" t="s">
        <v>56</v>
      </c>
      <c r="C69" s="33" t="s">
        <v>53</v>
      </c>
      <c r="D69" s="34" t="s">
        <v>23</v>
      </c>
      <c r="E69" s="28">
        <f>+[1]FERIYE!C384-[1]FERIYE!C377-[1]FERIYE!C369-[1]FERIYE!C342-[1]FERIYE!C343-[1]FERIYE!C344</f>
        <v>1392812.4491897929</v>
      </c>
      <c r="F69" s="29"/>
      <c r="G69" s="29"/>
      <c r="H69" s="30">
        <f>+[1]FERIYE!F384-[1]FERIYE!F377-[1]FERIYE!F369-[1]FERIYE!F342-[1]FERIYE!F343-[1]FERIYE!F344</f>
        <v>1239456.7738987755</v>
      </c>
      <c r="I69" s="30"/>
      <c r="J69" s="30"/>
      <c r="K69" s="30">
        <f>+[1]FERIYE!I384-[1]FERIYE!I377-[1]FERIYE!I369-[1]FERIYE!I342-[1]FERIYE!I343-[1]FERIYE!I344</f>
        <v>1459110.5252809203</v>
      </c>
      <c r="L69" s="30"/>
      <c r="M69" s="30"/>
      <c r="N69" s="30">
        <f>+[1]FERIYE!L384-[1]FERIYE!L377-[1]FERIYE!L369-[1]FERIYE!L342-[1]FERIYE!L343-[1]FERIYE!L344</f>
        <v>1696274.0364044348</v>
      </c>
      <c r="O69" s="30"/>
      <c r="P69" s="30"/>
      <c r="Q69" s="30">
        <f>+[1]FERIYE!O384-[1]FERIYE!O377-[1]FERIYE!O369-[1]FERIYE!O342-[1]FERIYE!O343-[1]FERIYE!O344</f>
        <v>2023625.3769154514</v>
      </c>
      <c r="R69" s="30"/>
      <c r="S69" s="30"/>
      <c r="T69" s="30">
        <f>+[1]FERIYE!R384-[1]FERIYE!R377-[1]FERIYE!R369-[1]FERIYE!R342-[1]FERIYE!R343-[1]FERIYE!R344</f>
        <v>4795476.2795016831</v>
      </c>
      <c r="U69" s="30"/>
      <c r="V69" s="30"/>
      <c r="W69" s="30">
        <f>+[1]FERIYE!U384-[1]FERIYE!U377-[1]FERIYE!U369-[1]FERIYE!U342-[1]FERIYE!U343-[1]FERIYE!U344</f>
        <v>4423242.5107187573</v>
      </c>
      <c r="X69" s="30"/>
      <c r="Y69" s="30"/>
      <c r="Z69" s="30">
        <f>+[1]FERIYE!X384-[1]FERIYE!X377-[1]FERIYE!X369-[1]FERIYE!X342-[1]FERIYE!X343-[1]FERIYE!X344</f>
        <v>0</v>
      </c>
      <c r="AA69" s="30"/>
      <c r="AB69" s="30"/>
      <c r="AC69" s="30">
        <f>+[1]FERIYE!AA384-[1]FERIYE!AA377-[1]FERIYE!AA369-[1]FERIYE!AA342-[1]FERIYE!AA343-[1]FERIYE!AA344</f>
        <v>0</v>
      </c>
      <c r="AD69" s="30"/>
      <c r="AE69" s="30"/>
      <c r="AF69" s="30">
        <f>+[1]FERIYE!AD384-[1]FERIYE!AD377-[1]FERIYE!AD369-[1]FERIYE!AD342-[1]FERIYE!AD343-[1]FERIYE!AD344</f>
        <v>0</v>
      </c>
      <c r="AG69" s="30"/>
      <c r="AH69" s="30"/>
      <c r="AI69" s="30">
        <f>+[1]FERIYE!AG384-[1]FERIYE!AG377-[1]FERIYE!AG369-[1]FERIYE!AG342-[1]FERIYE!AG343-[1]FERIYE!AG344</f>
        <v>0</v>
      </c>
      <c r="AJ69" s="31"/>
      <c r="AK69" s="31"/>
      <c r="AL69" s="79">
        <f>+[1]FERIYE!AJ384-[1]FERIYE!AJ377-[1]FERIYE!AJ369-[1]FERIYE!AJ342-[1]FERIYE!AJ343-[1]FERIYE!AJ344</f>
        <v>0</v>
      </c>
    </row>
    <row r="70" spans="1:38" x14ac:dyDescent="0.25">
      <c r="A70" s="85" t="s">
        <v>17</v>
      </c>
      <c r="B70" s="32" t="s">
        <v>56</v>
      </c>
      <c r="C70" s="33" t="s">
        <v>54</v>
      </c>
      <c r="D70" s="34" t="s">
        <v>23</v>
      </c>
      <c r="E70" s="59">
        <f>+E45+E46+E55+E57+E58+E59+E66+E68+E69</f>
        <v>9046364.4989301898</v>
      </c>
      <c r="F70" s="60"/>
      <c r="G70" s="60"/>
      <c r="H70" s="61">
        <f>+H45+H46+H55+H57+H58+H59+H66+H68+H69</f>
        <v>7745975.0912949322</v>
      </c>
      <c r="I70" s="61"/>
      <c r="J70" s="61"/>
      <c r="K70" s="61">
        <f>+K45+K46+K55+K57+K58+K59+K66+K68+K69</f>
        <v>9137916.701483136</v>
      </c>
      <c r="L70" s="61"/>
      <c r="M70" s="61"/>
      <c r="N70" s="61">
        <f>+N45+N46+N55+N57+N58+N59+N66+N68+N69</f>
        <v>10655533.353677658</v>
      </c>
      <c r="O70" s="61"/>
      <c r="P70" s="61"/>
      <c r="Q70" s="61">
        <f>+Q45+Q46+Q55+Q57+Q58+Q59+Q66+Q68+Q69</f>
        <v>12442541.564351959</v>
      </c>
      <c r="R70" s="61"/>
      <c r="S70" s="61"/>
      <c r="T70" s="61">
        <f>+T45+T46+T55+T57+T58+T59+T66+T68+T69</f>
        <v>24811575.663027056</v>
      </c>
      <c r="U70" s="61"/>
      <c r="V70" s="61"/>
      <c r="W70" s="61">
        <f>+W45+W46+W55+W57+W58+W59+W66+W68+W69</f>
        <v>26400943.651157886</v>
      </c>
      <c r="X70" s="61"/>
      <c r="Y70" s="61"/>
      <c r="Z70" s="61">
        <f>+Z45+Z46+Z55+Z57+Z58+Z59+Z66+Z68+Z69</f>
        <v>0</v>
      </c>
      <c r="AA70" s="61"/>
      <c r="AB70" s="61"/>
      <c r="AC70" s="61">
        <f>+AC45+AC46+AC55+AC57+AC58+AC59+AC66+AC68+AC69</f>
        <v>0</v>
      </c>
      <c r="AD70" s="61"/>
      <c r="AE70" s="61"/>
      <c r="AF70" s="61">
        <f>+AF45+AF46+AF55+AF57+AF58+AF59+AF66+AF68+AF69</f>
        <v>0</v>
      </c>
      <c r="AG70" s="61"/>
      <c r="AH70" s="61"/>
      <c r="AI70" s="61">
        <f>+AI45+AI46+AI55+AI57+AI58+AI59+AI66+AI68+AI69</f>
        <v>0</v>
      </c>
      <c r="AJ70" s="62"/>
      <c r="AK70" s="62"/>
      <c r="AL70" s="114">
        <f>+AL45+AL46+AL55+AL57+AL58+AL59+AL66+AL68+AL69</f>
        <v>0</v>
      </c>
    </row>
    <row r="71" spans="1:38" ht="15.75" thickBot="1" x14ac:dyDescent="0.3">
      <c r="A71" s="115" t="s">
        <v>17</v>
      </c>
      <c r="B71" s="116" t="s">
        <v>56</v>
      </c>
      <c r="C71" s="117" t="s">
        <v>55</v>
      </c>
      <c r="D71" s="118" t="s">
        <v>23</v>
      </c>
      <c r="E71" s="119">
        <f>+E70-[1]FERIYE!C386</f>
        <v>0</v>
      </c>
      <c r="F71" s="120"/>
      <c r="G71" s="120"/>
      <c r="H71" s="121">
        <f>+H70-[1]FERIYE!F386</f>
        <v>0</v>
      </c>
      <c r="I71" s="121"/>
      <c r="J71" s="121"/>
      <c r="K71" s="121">
        <f>+K70-[1]FERIYE!I386</f>
        <v>0</v>
      </c>
      <c r="L71" s="121"/>
      <c r="M71" s="121"/>
      <c r="N71" s="121">
        <f>+N70-[1]FERIYE!L386</f>
        <v>0</v>
      </c>
      <c r="O71" s="121"/>
      <c r="P71" s="121"/>
      <c r="Q71" s="121">
        <f>+Q70-[1]FERIYE!O386</f>
        <v>0</v>
      </c>
      <c r="R71" s="121"/>
      <c r="S71" s="121"/>
      <c r="T71" s="121">
        <f>+T70-[1]FERIYE!R386</f>
        <v>0</v>
      </c>
      <c r="U71" s="121"/>
      <c r="V71" s="121"/>
      <c r="W71" s="121">
        <f>+W70-[1]FERIYE!U386</f>
        <v>0</v>
      </c>
      <c r="X71" s="121"/>
      <c r="Y71" s="121"/>
      <c r="Z71" s="121">
        <f>+Z70-[1]FERIYE!X386</f>
        <v>0</v>
      </c>
      <c r="AA71" s="121"/>
      <c r="AB71" s="121"/>
      <c r="AC71" s="121">
        <f>+AC70-[1]FERIYE!AA386</f>
        <v>0</v>
      </c>
      <c r="AD71" s="121"/>
      <c r="AE71" s="121"/>
      <c r="AF71" s="121">
        <f>+AF70-[1]FERIYE!AD386</f>
        <v>0</v>
      </c>
      <c r="AG71" s="121"/>
      <c r="AH71" s="121"/>
      <c r="AI71" s="121">
        <f>+AI70-[1]FERIYE!AG386</f>
        <v>0</v>
      </c>
      <c r="AJ71" s="122"/>
      <c r="AK71" s="122"/>
      <c r="AL71" s="123">
        <f>+AL70-[1]FERIYE!AJ386</f>
        <v>0</v>
      </c>
    </row>
    <row r="72" spans="1:38" x14ac:dyDescent="0.25">
      <c r="A72" s="64" t="s">
        <v>17</v>
      </c>
      <c r="B72" s="65" t="s">
        <v>57</v>
      </c>
      <c r="C72" s="66" t="s">
        <v>19</v>
      </c>
      <c r="D72" s="67" t="s">
        <v>20</v>
      </c>
      <c r="E72" s="68">
        <f>+[1]FERIYE!C400</f>
        <v>1385</v>
      </c>
      <c r="F72" s="69"/>
      <c r="G72" s="69"/>
      <c r="H72" s="70">
        <f>+[1]FERIYE!F400</f>
        <v>1283</v>
      </c>
      <c r="I72" s="70"/>
      <c r="J72" s="70"/>
      <c r="K72" s="70">
        <f>+[1]FERIYE!I400</f>
        <v>1404</v>
      </c>
      <c r="L72" s="70"/>
      <c r="M72" s="70"/>
      <c r="N72" s="70">
        <f>+[1]FERIYE!L400</f>
        <v>1330</v>
      </c>
      <c r="O72" s="70"/>
      <c r="P72" s="70"/>
      <c r="Q72" s="70">
        <f>+[1]FERIYE!O400</f>
        <v>1197</v>
      </c>
      <c r="R72" s="70"/>
      <c r="S72" s="70"/>
      <c r="T72" s="70">
        <f>+[1]FERIYE!R400</f>
        <v>1830</v>
      </c>
      <c r="U72" s="70"/>
      <c r="V72" s="70"/>
      <c r="W72" s="70">
        <f>+[1]FERIYE!U400</f>
        <v>1636</v>
      </c>
      <c r="X72" s="70"/>
      <c r="Y72" s="70"/>
      <c r="Z72" s="70">
        <f>+[1]FERIYE!X400</f>
        <v>0</v>
      </c>
      <c r="AA72" s="70"/>
      <c r="AB72" s="70"/>
      <c r="AC72" s="70">
        <f>+[1]FERIYE!AA400</f>
        <v>0</v>
      </c>
      <c r="AD72" s="70"/>
      <c r="AE72" s="70"/>
      <c r="AF72" s="70">
        <f>+[1]FERIYE!AD400</f>
        <v>0</v>
      </c>
      <c r="AG72" s="70"/>
      <c r="AH72" s="70"/>
      <c r="AI72" s="70">
        <f>+[1]FERIYE!AG400</f>
        <v>0</v>
      </c>
      <c r="AJ72" s="71"/>
      <c r="AK72" s="71"/>
      <c r="AL72" s="72">
        <f>+[1]FERIYE!AJ400</f>
        <v>0</v>
      </c>
    </row>
    <row r="73" spans="1:38" x14ac:dyDescent="0.25">
      <c r="A73" s="73" t="s">
        <v>17</v>
      </c>
      <c r="B73" s="6" t="s">
        <v>57</v>
      </c>
      <c r="C73" s="7" t="s">
        <v>21</v>
      </c>
      <c r="D73" s="8" t="s">
        <v>20</v>
      </c>
      <c r="E73" s="9"/>
      <c r="F73" s="10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2"/>
      <c r="AK73" s="12"/>
      <c r="AL73" s="74"/>
    </row>
    <row r="74" spans="1:38" x14ac:dyDescent="0.25">
      <c r="A74" s="73" t="s">
        <v>17</v>
      </c>
      <c r="B74" s="6" t="s">
        <v>57</v>
      </c>
      <c r="C74" s="7" t="s">
        <v>22</v>
      </c>
      <c r="D74" s="8" t="s">
        <v>23</v>
      </c>
      <c r="E74" s="13">
        <f>+[1]FERIYE!C395</f>
        <v>270787.7</v>
      </c>
      <c r="F74" s="14"/>
      <c r="G74" s="14"/>
      <c r="H74" s="15">
        <f>+[1]FERIYE!F395</f>
        <v>273696.35999999993</v>
      </c>
      <c r="I74" s="14"/>
      <c r="J74" s="14"/>
      <c r="K74" s="13">
        <f>+[1]FERIYE!I395</f>
        <v>370082.72</v>
      </c>
      <c r="L74" s="14"/>
      <c r="M74" s="14"/>
      <c r="N74" s="15">
        <f>+[1]FERIYE!L395</f>
        <v>336355.95999999915</v>
      </c>
      <c r="O74" s="15"/>
      <c r="P74" s="15"/>
      <c r="Q74" s="15">
        <f>+[1]FERIYE!O395</f>
        <v>191029.67000000089</v>
      </c>
      <c r="R74" s="15"/>
      <c r="S74" s="15"/>
      <c r="T74" s="15">
        <f>+[1]FERIYE!R395</f>
        <v>289613.50999999867</v>
      </c>
      <c r="U74" s="15"/>
      <c r="V74" s="15"/>
      <c r="W74" s="15">
        <f>+[1]FERIYE!U395</f>
        <v>252601.72000000032</v>
      </c>
      <c r="X74" s="15"/>
      <c r="Y74" s="15"/>
      <c r="Z74" s="15">
        <f>+[1]FERIYE!X395</f>
        <v>0</v>
      </c>
      <c r="AA74" s="15"/>
      <c r="AB74" s="15"/>
      <c r="AC74" s="15">
        <f>+[1]FERIYE!AA395</f>
        <v>0</v>
      </c>
      <c r="AD74" s="15"/>
      <c r="AE74" s="15"/>
      <c r="AF74" s="15">
        <f>+[1]FERIYE!AD395</f>
        <v>0</v>
      </c>
      <c r="AG74" s="15"/>
      <c r="AH74" s="15"/>
      <c r="AI74" s="15">
        <f>+[1]FERIYE!AG395</f>
        <v>0</v>
      </c>
      <c r="AJ74" s="16"/>
      <c r="AK74" s="16"/>
      <c r="AL74" s="75">
        <f>+[1]FERIYE!AJ395</f>
        <v>0</v>
      </c>
    </row>
    <row r="75" spans="1:38" x14ac:dyDescent="0.25">
      <c r="A75" s="73" t="s">
        <v>17</v>
      </c>
      <c r="B75" s="6" t="s">
        <v>57</v>
      </c>
      <c r="C75" s="7" t="s">
        <v>24</v>
      </c>
      <c r="D75" s="8" t="s">
        <v>23</v>
      </c>
      <c r="E75" s="13">
        <f>+[1]FERIYE!C396</f>
        <v>88242.73</v>
      </c>
      <c r="F75" s="17"/>
      <c r="G75" s="17"/>
      <c r="H75" s="18">
        <f>+[1]FERIYE!F396</f>
        <v>48492.30000000001</v>
      </c>
      <c r="I75" s="18"/>
      <c r="J75" s="18"/>
      <c r="K75" s="18">
        <f>+[1]FERIYE!I396</f>
        <v>35977.639999999992</v>
      </c>
      <c r="L75" s="18"/>
      <c r="M75" s="18"/>
      <c r="N75" s="18">
        <f>+[1]FERIYE!L396</f>
        <v>161259.67000000013</v>
      </c>
      <c r="O75" s="18"/>
      <c r="P75" s="18"/>
      <c r="Q75" s="18">
        <f>+[1]FERIYE!O396</f>
        <v>149778.54999999973</v>
      </c>
      <c r="R75" s="18"/>
      <c r="S75" s="18"/>
      <c r="T75" s="18">
        <f>+[1]FERIYE!R396</f>
        <v>247122.99999999869</v>
      </c>
      <c r="U75" s="18"/>
      <c r="V75" s="18"/>
      <c r="W75" s="18">
        <f>+[1]FERIYE!U396</f>
        <v>220897.56999999887</v>
      </c>
      <c r="X75" s="18"/>
      <c r="Y75" s="18"/>
      <c r="Z75" s="18">
        <f>+[1]FERIYE!X396</f>
        <v>0</v>
      </c>
      <c r="AA75" s="18"/>
      <c r="AB75" s="18"/>
      <c r="AC75" s="18">
        <f>+[1]FERIYE!AA396</f>
        <v>0</v>
      </c>
      <c r="AD75" s="18"/>
      <c r="AE75" s="18"/>
      <c r="AF75" s="18">
        <f>+[1]FERIYE!AD396</f>
        <v>0</v>
      </c>
      <c r="AG75" s="18"/>
      <c r="AH75" s="18"/>
      <c r="AI75" s="18">
        <f>+[1]FERIYE!AG396</f>
        <v>0</v>
      </c>
      <c r="AJ75" s="19"/>
      <c r="AK75" s="19"/>
      <c r="AL75" s="76">
        <f>+[1]FERIYE!AJ396</f>
        <v>0</v>
      </c>
    </row>
    <row r="76" spans="1:38" x14ac:dyDescent="0.25">
      <c r="A76" s="73" t="s">
        <v>17</v>
      </c>
      <c r="B76" s="6" t="s">
        <v>57</v>
      </c>
      <c r="C76" s="7" t="s">
        <v>25</v>
      </c>
      <c r="D76" s="8" t="s">
        <v>23</v>
      </c>
      <c r="E76" s="20">
        <f>+[1]FERIYE!C398</f>
        <v>-1.4551915228366852E-11</v>
      </c>
      <c r="F76" s="21"/>
      <c r="G76" s="21"/>
      <c r="H76" s="22">
        <f>+[1]FERIYE!F398</f>
        <v>-2.1827872842550278E-11</v>
      </c>
      <c r="I76" s="22"/>
      <c r="J76" s="22"/>
      <c r="K76" s="22">
        <f>+[1]FERIYE!I398</f>
        <v>2.1827872842550278E-11</v>
      </c>
      <c r="L76" s="22"/>
      <c r="M76" s="22"/>
      <c r="N76" s="22">
        <f>+[1]FERIYE!L398</f>
        <v>2.9103830456733704E-11</v>
      </c>
      <c r="O76" s="22"/>
      <c r="P76" s="22"/>
      <c r="Q76" s="22">
        <f>+[1]FERIYE!O398</f>
        <v>5100.8800000000047</v>
      </c>
      <c r="R76" s="22"/>
      <c r="S76" s="22"/>
      <c r="T76" s="22">
        <f>+[1]FERIYE!R398</f>
        <v>-2.9103830456733704E-11</v>
      </c>
      <c r="U76" s="22"/>
      <c r="V76" s="22"/>
      <c r="W76" s="22">
        <f>+[1]FERIYE!U398</f>
        <v>2.9103830456733704E-11</v>
      </c>
      <c r="X76" s="22"/>
      <c r="Y76" s="22"/>
      <c r="Z76" s="22">
        <f>+[1]FERIYE!X398</f>
        <v>0</v>
      </c>
      <c r="AA76" s="22"/>
      <c r="AB76" s="22"/>
      <c r="AC76" s="22">
        <f>+[1]FERIYE!AA398</f>
        <v>0</v>
      </c>
      <c r="AD76" s="22"/>
      <c r="AE76" s="22"/>
      <c r="AF76" s="22">
        <f>+[1]FERIYE!AD398</f>
        <v>0</v>
      </c>
      <c r="AG76" s="22"/>
      <c r="AH76" s="22"/>
      <c r="AI76" s="22">
        <f>+[1]FERIYE!AG398</f>
        <v>0</v>
      </c>
      <c r="AJ76" s="23"/>
      <c r="AK76" s="23"/>
      <c r="AL76" s="77">
        <f>+[1]FERIYE!AJ398</f>
        <v>0</v>
      </c>
    </row>
    <row r="77" spans="1:38" x14ac:dyDescent="0.25">
      <c r="A77" s="73" t="s">
        <v>17</v>
      </c>
      <c r="B77" s="6" t="s">
        <v>57</v>
      </c>
      <c r="C77" s="7" t="s">
        <v>26</v>
      </c>
      <c r="D77" s="8" t="s">
        <v>23</v>
      </c>
      <c r="E77" s="24">
        <f>+[1]FERIYE!C420</f>
        <v>199794.81999999998</v>
      </c>
      <c r="F77" s="25"/>
      <c r="G77" s="25"/>
      <c r="H77" s="26">
        <f>+[1]FERIYE!F420</f>
        <v>241106.35</v>
      </c>
      <c r="I77" s="26"/>
      <c r="J77" s="26"/>
      <c r="K77" s="26">
        <f>+[1]FERIYE!I420</f>
        <v>150146.43</v>
      </c>
      <c r="L77" s="26"/>
      <c r="M77" s="26"/>
      <c r="N77" s="26">
        <f>+[1]FERIYE!L420</f>
        <v>174766.77</v>
      </c>
      <c r="O77" s="26"/>
      <c r="P77" s="26"/>
      <c r="Q77" s="26">
        <f>+[1]FERIYE!O420</f>
        <v>158550.9</v>
      </c>
      <c r="R77" s="26"/>
      <c r="S77" s="26"/>
      <c r="T77" s="26">
        <f>+[1]FERIYE!R420</f>
        <v>128688.24</v>
      </c>
      <c r="U77" s="26"/>
      <c r="V77" s="26"/>
      <c r="W77" s="26">
        <f>+[1]FERIYE!U420</f>
        <v>142036.06999999998</v>
      </c>
      <c r="X77" s="26"/>
      <c r="Y77" s="26"/>
      <c r="Z77" s="26">
        <f>+[1]FERIYE!X420</f>
        <v>0</v>
      </c>
      <c r="AA77" s="26"/>
      <c r="AB77" s="26"/>
      <c r="AC77" s="26">
        <f>+[1]FERIYE!AA420</f>
        <v>0</v>
      </c>
      <c r="AD77" s="26"/>
      <c r="AE77" s="26"/>
      <c r="AF77" s="26">
        <f>+[1]FERIYE!AD420</f>
        <v>0</v>
      </c>
      <c r="AG77" s="26"/>
      <c r="AH77" s="26"/>
      <c r="AI77" s="26">
        <f>+[1]FERIYE!AG420</f>
        <v>0</v>
      </c>
      <c r="AJ77" s="27"/>
      <c r="AK77" s="27"/>
      <c r="AL77" s="78">
        <f>+[1]FERIYE!AJ420</f>
        <v>0</v>
      </c>
    </row>
    <row r="78" spans="1:38" x14ac:dyDescent="0.25">
      <c r="A78" s="73" t="s">
        <v>17</v>
      </c>
      <c r="B78" s="6" t="s">
        <v>57</v>
      </c>
      <c r="C78" s="7" t="s">
        <v>27</v>
      </c>
      <c r="D78" s="8" t="s">
        <v>23</v>
      </c>
      <c r="E78" s="28">
        <f>+[1]FERIYE!C421</f>
        <v>35680.58</v>
      </c>
      <c r="F78" s="29"/>
      <c r="G78" s="29"/>
      <c r="H78" s="30">
        <f>+[1]FERIYE!F421</f>
        <v>8038.1</v>
      </c>
      <c r="I78" s="30"/>
      <c r="J78" s="30"/>
      <c r="K78" s="30">
        <f>+[1]FERIYE!I421</f>
        <v>21640.11</v>
      </c>
      <c r="L78" s="30"/>
      <c r="M78" s="30"/>
      <c r="N78" s="30">
        <f>+[1]FERIYE!L421</f>
        <v>42071.23</v>
      </c>
      <c r="O78" s="30"/>
      <c r="P78" s="30"/>
      <c r="Q78" s="30">
        <f>+[1]FERIYE!O421</f>
        <v>22371.89</v>
      </c>
      <c r="R78" s="30"/>
      <c r="S78" s="30"/>
      <c r="T78" s="30">
        <f>+[1]FERIYE!R421</f>
        <v>17113.39</v>
      </c>
      <c r="U78" s="30"/>
      <c r="V78" s="30"/>
      <c r="W78" s="30">
        <f>+[1]FERIYE!U421</f>
        <v>60966.71</v>
      </c>
      <c r="X78" s="30"/>
      <c r="Y78" s="30"/>
      <c r="Z78" s="30">
        <f>+[1]FERIYE!X421</f>
        <v>0</v>
      </c>
      <c r="AA78" s="30"/>
      <c r="AB78" s="30"/>
      <c r="AC78" s="30">
        <f>+[1]FERIYE!AA421</f>
        <v>0</v>
      </c>
      <c r="AD78" s="30"/>
      <c r="AE78" s="30"/>
      <c r="AF78" s="30">
        <f>+[1]FERIYE!AD421</f>
        <v>0</v>
      </c>
      <c r="AG78" s="30"/>
      <c r="AH78" s="30"/>
      <c r="AI78" s="30">
        <f>+[1]FERIYE!AG421</f>
        <v>0</v>
      </c>
      <c r="AJ78" s="31"/>
      <c r="AK78" s="31"/>
      <c r="AL78" s="79">
        <f>+[1]FERIYE!AJ421</f>
        <v>0</v>
      </c>
    </row>
    <row r="79" spans="1:38" x14ac:dyDescent="0.25">
      <c r="A79" s="73" t="s">
        <v>17</v>
      </c>
      <c r="B79" s="6" t="s">
        <v>57</v>
      </c>
      <c r="C79" s="7" t="s">
        <v>28</v>
      </c>
      <c r="D79" s="8" t="s">
        <v>29</v>
      </c>
      <c r="E79" s="124">
        <f>+[1]FERIYE!C404</f>
        <v>1.67</v>
      </c>
      <c r="F79" s="125"/>
      <c r="G79" s="125"/>
      <c r="H79" s="126">
        <f>+[1]FERIYE!F404</f>
        <v>2</v>
      </c>
      <c r="I79" s="126"/>
      <c r="J79" s="126"/>
      <c r="K79" s="126">
        <f>+[1]FERIYE!I404</f>
        <v>4</v>
      </c>
      <c r="L79" s="126"/>
      <c r="M79" s="126"/>
      <c r="N79" s="126">
        <f>+[1]FERIYE!L404</f>
        <v>4</v>
      </c>
      <c r="O79" s="126"/>
      <c r="P79" s="126"/>
      <c r="Q79" s="126">
        <f>+[1]FERIYE!O404</f>
        <v>4.4000000000000004</v>
      </c>
      <c r="R79" s="126"/>
      <c r="S79" s="126"/>
      <c r="T79" s="126">
        <f>+[1]FERIYE!R404</f>
        <v>4.7</v>
      </c>
      <c r="U79" s="126"/>
      <c r="V79" s="126"/>
      <c r="W79" s="126">
        <f>+[1]FERIYE!U404</f>
        <v>5</v>
      </c>
      <c r="X79" s="126"/>
      <c r="Y79" s="126"/>
      <c r="Z79" s="126">
        <f>+[1]FERIYE!X404</f>
        <v>0</v>
      </c>
      <c r="AA79" s="126"/>
      <c r="AB79" s="126"/>
      <c r="AC79" s="126">
        <f>+[1]FERIYE!AA404</f>
        <v>0</v>
      </c>
      <c r="AD79" s="126"/>
      <c r="AE79" s="126"/>
      <c r="AF79" s="126">
        <f>+[1]FERIYE!AD404</f>
        <v>0</v>
      </c>
      <c r="AG79" s="126"/>
      <c r="AH79" s="126"/>
      <c r="AI79" s="126">
        <f>+[1]FERIYE!AG404</f>
        <v>0</v>
      </c>
      <c r="AJ79" s="127"/>
      <c r="AK79" s="127"/>
      <c r="AL79" s="128">
        <f>+[1]FERIYE!AJ404</f>
        <v>0</v>
      </c>
    </row>
    <row r="80" spans="1:38" x14ac:dyDescent="0.25">
      <c r="A80" s="85" t="s">
        <v>17</v>
      </c>
      <c r="B80" s="32" t="s">
        <v>57</v>
      </c>
      <c r="C80" s="33" t="s">
        <v>30</v>
      </c>
      <c r="D80" s="34" t="s">
        <v>29</v>
      </c>
      <c r="E80" s="129">
        <f>+[1]FERIYE!C405</f>
        <v>0</v>
      </c>
      <c r="F80" s="130"/>
      <c r="G80" s="130"/>
      <c r="H80" s="131">
        <f>+[1]FERIYE!F405</f>
        <v>0</v>
      </c>
      <c r="I80" s="131"/>
      <c r="J80" s="131"/>
      <c r="K80" s="131">
        <f>+[1]FERIYE!I405</f>
        <v>0</v>
      </c>
      <c r="L80" s="131"/>
      <c r="M80" s="131"/>
      <c r="N80" s="131">
        <f>+[1]FERIYE!L405</f>
        <v>0</v>
      </c>
      <c r="O80" s="131"/>
      <c r="P80" s="131"/>
      <c r="Q80" s="131">
        <f>+[1]FERIYE!O405</f>
        <v>0</v>
      </c>
      <c r="R80" s="131"/>
      <c r="S80" s="131"/>
      <c r="T80" s="131">
        <f>+[1]FERIYE!R405</f>
        <v>0</v>
      </c>
      <c r="U80" s="131"/>
      <c r="V80" s="131"/>
      <c r="W80" s="131">
        <f>+[1]FERIYE!U405</f>
        <v>0</v>
      </c>
      <c r="X80" s="131"/>
      <c r="Y80" s="131"/>
      <c r="Z80" s="131">
        <f>+[1]FERIYE!X405</f>
        <v>0</v>
      </c>
      <c r="AA80" s="131"/>
      <c r="AB80" s="131"/>
      <c r="AC80" s="131">
        <f>+[1]FERIYE!AA405</f>
        <v>0</v>
      </c>
      <c r="AD80" s="131"/>
      <c r="AE80" s="131"/>
      <c r="AF80" s="131">
        <f>+[1]FERIYE!AD405</f>
        <v>0</v>
      </c>
      <c r="AG80" s="131"/>
      <c r="AH80" s="131"/>
      <c r="AI80" s="131">
        <f>+[1]FERIYE!AG405</f>
        <v>0</v>
      </c>
      <c r="AJ80" s="132"/>
      <c r="AK80" s="132"/>
      <c r="AL80" s="133">
        <f>+[1]FERIYE!AJ405</f>
        <v>0</v>
      </c>
    </row>
    <row r="81" spans="1:38" x14ac:dyDescent="0.25">
      <c r="A81" s="85" t="s">
        <v>17</v>
      </c>
      <c r="B81" s="32" t="s">
        <v>57</v>
      </c>
      <c r="C81" s="33" t="s">
        <v>31</v>
      </c>
      <c r="D81" s="34" t="s">
        <v>29</v>
      </c>
      <c r="E81" s="129">
        <f>+[1]FERIYE!C406</f>
        <v>0</v>
      </c>
      <c r="F81" s="130"/>
      <c r="G81" s="130"/>
      <c r="H81" s="131">
        <f>+[1]FERIYE!F406</f>
        <v>0</v>
      </c>
      <c r="I81" s="131"/>
      <c r="J81" s="131"/>
      <c r="K81" s="131">
        <f>+[1]FERIYE!I406</f>
        <v>0</v>
      </c>
      <c r="L81" s="131"/>
      <c r="M81" s="131"/>
      <c r="N81" s="131">
        <f>+[1]FERIYE!L406</f>
        <v>0</v>
      </c>
      <c r="O81" s="131"/>
      <c r="P81" s="131"/>
      <c r="Q81" s="131">
        <f>+[1]FERIYE!O406</f>
        <v>0</v>
      </c>
      <c r="R81" s="131"/>
      <c r="S81" s="131"/>
      <c r="T81" s="131">
        <f>+[1]FERIYE!R406</f>
        <v>0</v>
      </c>
      <c r="U81" s="131"/>
      <c r="V81" s="131"/>
      <c r="W81" s="131">
        <f>+[1]FERIYE!U406</f>
        <v>0</v>
      </c>
      <c r="X81" s="131"/>
      <c r="Y81" s="131"/>
      <c r="Z81" s="131">
        <f>+[1]FERIYE!X406</f>
        <v>0</v>
      </c>
      <c r="AA81" s="131"/>
      <c r="AB81" s="131"/>
      <c r="AC81" s="131">
        <f>+[1]FERIYE!AA406</f>
        <v>0</v>
      </c>
      <c r="AD81" s="131"/>
      <c r="AE81" s="131"/>
      <c r="AF81" s="131">
        <f>+[1]FERIYE!AD406</f>
        <v>0</v>
      </c>
      <c r="AG81" s="131"/>
      <c r="AH81" s="131"/>
      <c r="AI81" s="131">
        <f>+[1]FERIYE!AG406</f>
        <v>0</v>
      </c>
      <c r="AJ81" s="132"/>
      <c r="AK81" s="132"/>
      <c r="AL81" s="133">
        <f>+[1]FERIYE!AJ406</f>
        <v>0</v>
      </c>
    </row>
    <row r="82" spans="1:38" x14ac:dyDescent="0.25">
      <c r="A82" s="85" t="s">
        <v>17</v>
      </c>
      <c r="B82" s="32" t="s">
        <v>57</v>
      </c>
      <c r="C82" s="33" t="s">
        <v>32</v>
      </c>
      <c r="D82" s="34" t="s">
        <v>29</v>
      </c>
      <c r="E82" s="129">
        <f>+[1]FERIYE!C407</f>
        <v>0</v>
      </c>
      <c r="F82" s="130"/>
      <c r="G82" s="130"/>
      <c r="H82" s="131">
        <f>+[1]FERIYE!F407</f>
        <v>0</v>
      </c>
      <c r="I82" s="131"/>
      <c r="J82" s="131"/>
      <c r="K82" s="131">
        <f>+[1]FERIYE!I407</f>
        <v>0</v>
      </c>
      <c r="L82" s="131"/>
      <c r="M82" s="131"/>
      <c r="N82" s="131">
        <f>+[1]FERIYE!L407</f>
        <v>0</v>
      </c>
      <c r="O82" s="131"/>
      <c r="P82" s="131"/>
      <c r="Q82" s="131">
        <f>+[1]FERIYE!O407</f>
        <v>0</v>
      </c>
      <c r="R82" s="131"/>
      <c r="S82" s="131"/>
      <c r="T82" s="131">
        <f>+[1]FERIYE!R407</f>
        <v>0</v>
      </c>
      <c r="U82" s="131"/>
      <c r="V82" s="131"/>
      <c r="W82" s="131">
        <f>+[1]FERIYE!U407</f>
        <v>0</v>
      </c>
      <c r="X82" s="131"/>
      <c r="Y82" s="131"/>
      <c r="Z82" s="131">
        <f>+[1]FERIYE!X407</f>
        <v>0</v>
      </c>
      <c r="AA82" s="131"/>
      <c r="AB82" s="131"/>
      <c r="AC82" s="131">
        <f>+[1]FERIYE!AA407</f>
        <v>0</v>
      </c>
      <c r="AD82" s="131"/>
      <c r="AE82" s="131"/>
      <c r="AF82" s="131">
        <f>+[1]FERIYE!AD407</f>
        <v>0</v>
      </c>
      <c r="AG82" s="131"/>
      <c r="AH82" s="131"/>
      <c r="AI82" s="131">
        <f>+[1]FERIYE!AG407</f>
        <v>0</v>
      </c>
      <c r="AJ82" s="132"/>
      <c r="AK82" s="132"/>
      <c r="AL82" s="133">
        <f>+[1]FERIYE!AJ407</f>
        <v>0</v>
      </c>
    </row>
    <row r="83" spans="1:38" x14ac:dyDescent="0.25">
      <c r="A83" s="85" t="s">
        <v>17</v>
      </c>
      <c r="B83" s="32" t="s">
        <v>57</v>
      </c>
      <c r="C83" s="33" t="s">
        <v>33</v>
      </c>
      <c r="D83" s="34" t="s">
        <v>29</v>
      </c>
      <c r="E83" s="129">
        <f>SUM(E79:E82)</f>
        <v>1.67</v>
      </c>
      <c r="F83" s="130"/>
      <c r="G83" s="130"/>
      <c r="H83" s="129">
        <f>SUM(H79:H82)</f>
        <v>2</v>
      </c>
      <c r="I83" s="131"/>
      <c r="J83" s="131"/>
      <c r="K83" s="129">
        <f>SUM(K79:K82)</f>
        <v>4</v>
      </c>
      <c r="L83" s="131"/>
      <c r="M83" s="131"/>
      <c r="N83" s="129">
        <f>SUM(N79:N82)</f>
        <v>4</v>
      </c>
      <c r="O83" s="131"/>
      <c r="P83" s="131"/>
      <c r="Q83" s="129">
        <f>SUM(Q79:Q82)</f>
        <v>4.4000000000000004</v>
      </c>
      <c r="R83" s="131"/>
      <c r="S83" s="131"/>
      <c r="T83" s="129">
        <f>SUM(T79:T82)</f>
        <v>4.7</v>
      </c>
      <c r="U83" s="131"/>
      <c r="V83" s="131"/>
      <c r="W83" s="129">
        <f>SUM(W79:W82)</f>
        <v>5</v>
      </c>
      <c r="X83" s="131"/>
      <c r="Y83" s="131"/>
      <c r="Z83" s="129">
        <f>SUM(Z79:Z82)</f>
        <v>0</v>
      </c>
      <c r="AA83" s="131"/>
      <c r="AB83" s="131"/>
      <c r="AC83" s="129">
        <f>SUM(AC79:AC82)</f>
        <v>0</v>
      </c>
      <c r="AD83" s="131"/>
      <c r="AE83" s="131"/>
      <c r="AF83" s="129">
        <f>SUM(AF79:AF82)</f>
        <v>0</v>
      </c>
      <c r="AG83" s="131"/>
      <c r="AH83" s="131"/>
      <c r="AI83" s="129">
        <f>SUM(AI79:AI82)</f>
        <v>0</v>
      </c>
      <c r="AJ83" s="132"/>
      <c r="AK83" s="132"/>
      <c r="AL83" s="134">
        <f>SUM(AL79:AL82)</f>
        <v>0</v>
      </c>
    </row>
    <row r="84" spans="1:38" x14ac:dyDescent="0.25">
      <c r="A84" s="85" t="s">
        <v>17</v>
      </c>
      <c r="B84" s="32" t="s">
        <v>57</v>
      </c>
      <c r="C84" s="33" t="s">
        <v>34</v>
      </c>
      <c r="D84" s="34" t="s">
        <v>23</v>
      </c>
      <c r="E84" s="35">
        <f>+[1]FERIYE!C411+[1]FERIYE!C412+[1]FERIYE!C413+[1]FERIYE!C414</f>
        <v>269678.65999999997</v>
      </c>
      <c r="F84" s="36"/>
      <c r="G84" s="36"/>
      <c r="H84" s="35">
        <f>+[1]FERIYE!F411+[1]FERIYE!F412+[1]FERIYE!F413+[1]FERIYE!F414</f>
        <v>303107.53000000003</v>
      </c>
      <c r="I84" s="18"/>
      <c r="J84" s="18"/>
      <c r="K84" s="35">
        <f>+[1]FERIYE!I411+[1]FERIYE!I412+[1]FERIYE!I413+[1]FERIYE!I414</f>
        <v>294186.05583586229</v>
      </c>
      <c r="L84" s="18"/>
      <c r="M84" s="18"/>
      <c r="N84" s="35">
        <f>+[1]FERIYE!L411+[1]FERIYE!L412+[1]FERIYE!L413+[1]FERIYE!L414</f>
        <v>300917.4468745598</v>
      </c>
      <c r="O84" s="18"/>
      <c r="P84" s="18"/>
      <c r="Q84" s="35">
        <f>+[1]FERIYE!O411+[1]FERIYE!O412+[1]FERIYE!O413+[1]FERIYE!O414</f>
        <v>314209.73771015293</v>
      </c>
      <c r="R84" s="18"/>
      <c r="S84" s="18"/>
      <c r="T84" s="35">
        <f>+[1]FERIYE!R411+[1]FERIYE!R412+[1]FERIYE!R413+[1]FERIYE!R414</f>
        <v>322814.35942300234</v>
      </c>
      <c r="U84" s="18"/>
      <c r="V84" s="18"/>
      <c r="W84" s="35">
        <f>+[1]FERIYE!U411+[1]FERIYE!U412+[1]FERIYE!U413+[1]FERIYE!U414</f>
        <v>393376.79981096566</v>
      </c>
      <c r="X84" s="18"/>
      <c r="Y84" s="18"/>
      <c r="Z84" s="35">
        <f>+[1]FERIYE!X411+[1]FERIYE!X412+[1]FERIYE!X413+[1]FERIYE!X414</f>
        <v>0</v>
      </c>
      <c r="AA84" s="18"/>
      <c r="AB84" s="18"/>
      <c r="AC84" s="35">
        <f>+[1]FERIYE!AA411+[1]FERIYE!AA412+[1]FERIYE!AA413+[1]FERIYE!AA414</f>
        <v>0</v>
      </c>
      <c r="AD84" s="18"/>
      <c r="AE84" s="18"/>
      <c r="AF84" s="35">
        <f>+[1]FERIYE!AD411+[1]FERIYE!AD412+[1]FERIYE!AD413+[1]FERIYE!AD414</f>
        <v>0</v>
      </c>
      <c r="AG84" s="18"/>
      <c r="AH84" s="18"/>
      <c r="AI84" s="35">
        <f>+[1]FERIYE!AG411+[1]FERIYE!AG412+[1]FERIYE!AG413+[1]FERIYE!AG414</f>
        <v>0</v>
      </c>
      <c r="AJ84" s="19"/>
      <c r="AK84" s="19"/>
      <c r="AL84" s="92">
        <f>+[1]FERIYE!AJ411+[1]FERIYE!AJ412+[1]FERIYE!AJ413+[1]FERIYE!AJ414</f>
        <v>0</v>
      </c>
    </row>
    <row r="85" spans="1:38" x14ac:dyDescent="0.25">
      <c r="A85" s="85" t="s">
        <v>17</v>
      </c>
      <c r="B85" s="32" t="s">
        <v>57</v>
      </c>
      <c r="C85" s="33" t="s">
        <v>35</v>
      </c>
      <c r="D85" s="34" t="s">
        <v>23</v>
      </c>
      <c r="E85" s="35">
        <f>+[1]FERIYE!C415</f>
        <v>0</v>
      </c>
      <c r="F85" s="36"/>
      <c r="G85" s="36"/>
      <c r="H85" s="35">
        <f>+[1]FERIYE!F415</f>
        <v>0</v>
      </c>
      <c r="I85" s="18"/>
      <c r="J85" s="18"/>
      <c r="K85" s="35">
        <f>+[1]FERIYE!I415</f>
        <v>0</v>
      </c>
      <c r="L85" s="18"/>
      <c r="M85" s="18"/>
      <c r="N85" s="35">
        <f>+[1]FERIYE!L415</f>
        <v>0</v>
      </c>
      <c r="O85" s="18"/>
      <c r="P85" s="18"/>
      <c r="Q85" s="35">
        <f>+[1]FERIYE!O415</f>
        <v>0</v>
      </c>
      <c r="R85" s="18"/>
      <c r="S85" s="18"/>
      <c r="T85" s="35">
        <f>+[1]FERIYE!R415</f>
        <v>0</v>
      </c>
      <c r="U85" s="18"/>
      <c r="V85" s="18"/>
      <c r="W85" s="35">
        <f>+[1]FERIYE!U415</f>
        <v>0</v>
      </c>
      <c r="X85" s="18"/>
      <c r="Y85" s="18"/>
      <c r="Z85" s="35">
        <f>+[1]FERIYE!X415</f>
        <v>0</v>
      </c>
      <c r="AA85" s="18"/>
      <c r="AB85" s="18"/>
      <c r="AC85" s="35">
        <f>+[1]FERIYE!AA415</f>
        <v>0</v>
      </c>
      <c r="AD85" s="18"/>
      <c r="AE85" s="18"/>
      <c r="AF85" s="35">
        <f>+[1]FERIYE!AD415</f>
        <v>0</v>
      </c>
      <c r="AG85" s="18"/>
      <c r="AH85" s="18"/>
      <c r="AI85" s="35">
        <f>+[1]FERIYE!AG415</f>
        <v>0</v>
      </c>
      <c r="AJ85" s="19"/>
      <c r="AK85" s="19"/>
      <c r="AL85" s="92">
        <f>+[1]FERIYE!AJ415</f>
        <v>0</v>
      </c>
    </row>
    <row r="86" spans="1:38" x14ac:dyDescent="0.25">
      <c r="A86" s="85" t="s">
        <v>17</v>
      </c>
      <c r="B86" s="32" t="s">
        <v>57</v>
      </c>
      <c r="C86" s="33" t="s">
        <v>36</v>
      </c>
      <c r="D86" s="34" t="s">
        <v>23</v>
      </c>
      <c r="E86" s="35">
        <f>+[1]FERIYE!C416</f>
        <v>0</v>
      </c>
      <c r="F86" s="36"/>
      <c r="G86" s="36"/>
      <c r="H86" s="35">
        <f>+[1]FERIYE!F416</f>
        <v>0</v>
      </c>
      <c r="I86" s="18"/>
      <c r="J86" s="18"/>
      <c r="K86" s="35">
        <f>+[1]FERIYE!I416</f>
        <v>0</v>
      </c>
      <c r="L86" s="18"/>
      <c r="M86" s="18"/>
      <c r="N86" s="35">
        <f>+[1]FERIYE!L416</f>
        <v>0</v>
      </c>
      <c r="O86" s="18"/>
      <c r="P86" s="18"/>
      <c r="Q86" s="35">
        <f>+[1]FERIYE!O416</f>
        <v>0</v>
      </c>
      <c r="R86" s="18"/>
      <c r="S86" s="18"/>
      <c r="T86" s="35">
        <f>+[1]FERIYE!R416</f>
        <v>0</v>
      </c>
      <c r="U86" s="18"/>
      <c r="V86" s="18"/>
      <c r="W86" s="35">
        <f>+[1]FERIYE!U416</f>
        <v>0</v>
      </c>
      <c r="X86" s="18"/>
      <c r="Y86" s="18"/>
      <c r="Z86" s="35">
        <f>+[1]FERIYE!X416</f>
        <v>0</v>
      </c>
      <c r="AA86" s="18"/>
      <c r="AB86" s="18"/>
      <c r="AC86" s="35">
        <f>+[1]FERIYE!AA416</f>
        <v>0</v>
      </c>
      <c r="AD86" s="18"/>
      <c r="AE86" s="18"/>
      <c r="AF86" s="35">
        <f>+[1]FERIYE!AD416</f>
        <v>0</v>
      </c>
      <c r="AG86" s="18"/>
      <c r="AH86" s="18"/>
      <c r="AI86" s="35">
        <f>+[1]FERIYE!AG416</f>
        <v>0</v>
      </c>
      <c r="AJ86" s="19"/>
      <c r="AK86" s="19"/>
      <c r="AL86" s="92">
        <f>+[1]FERIYE!AJ416</f>
        <v>0</v>
      </c>
    </row>
    <row r="87" spans="1:38" x14ac:dyDescent="0.25">
      <c r="A87" s="85" t="s">
        <v>17</v>
      </c>
      <c r="B87" s="32" t="s">
        <v>57</v>
      </c>
      <c r="C87" s="33" t="s">
        <v>37</v>
      </c>
      <c r="D87" s="34" t="s">
        <v>23</v>
      </c>
      <c r="E87" s="37">
        <f>SUM(E84:E86)</f>
        <v>269678.65999999997</v>
      </c>
      <c r="F87" s="38"/>
      <c r="G87" s="38"/>
      <c r="H87" s="37">
        <f>SUM(H84:H86)</f>
        <v>303107.53000000003</v>
      </c>
      <c r="I87" s="39"/>
      <c r="J87" s="39"/>
      <c r="K87" s="37">
        <f>SUM(K84:K86)</f>
        <v>294186.05583586229</v>
      </c>
      <c r="L87" s="39"/>
      <c r="M87" s="39"/>
      <c r="N87" s="37">
        <f>SUM(N84:N86)</f>
        <v>300917.4468745598</v>
      </c>
      <c r="O87" s="39"/>
      <c r="P87" s="39"/>
      <c r="Q87" s="37">
        <f>SUM(Q84:Q86)</f>
        <v>314209.73771015293</v>
      </c>
      <c r="R87" s="39"/>
      <c r="S87" s="39"/>
      <c r="T87" s="37">
        <f>SUM(T84:T86)</f>
        <v>322814.35942300234</v>
      </c>
      <c r="U87" s="39"/>
      <c r="V87" s="39"/>
      <c r="W87" s="37">
        <f>SUM(W84:W86)</f>
        <v>393376.79981096566</v>
      </c>
      <c r="X87" s="39"/>
      <c r="Y87" s="39"/>
      <c r="Z87" s="37">
        <f>SUM(Z84:Z86)</f>
        <v>0</v>
      </c>
      <c r="AA87" s="39"/>
      <c r="AB87" s="39"/>
      <c r="AC87" s="37">
        <f>SUM(AC84:AC86)</f>
        <v>0</v>
      </c>
      <c r="AD87" s="39"/>
      <c r="AE87" s="39"/>
      <c r="AF87" s="37">
        <f>SUM(AF84:AF86)</f>
        <v>0</v>
      </c>
      <c r="AG87" s="39"/>
      <c r="AH87" s="39"/>
      <c r="AI87" s="37">
        <f>SUM(AI84:AI86)</f>
        <v>0</v>
      </c>
      <c r="AJ87" s="40"/>
      <c r="AK87" s="40"/>
      <c r="AL87" s="93">
        <f>SUM(AL84:AL86)</f>
        <v>0</v>
      </c>
    </row>
    <row r="88" spans="1:38" x14ac:dyDescent="0.25">
      <c r="A88" s="73" t="s">
        <v>17</v>
      </c>
      <c r="B88" s="6" t="s">
        <v>57</v>
      </c>
      <c r="C88" s="7" t="s">
        <v>38</v>
      </c>
      <c r="D88" s="8" t="s">
        <v>23</v>
      </c>
      <c r="E88" s="28">
        <f>IFERROR(E87/E83,0)</f>
        <v>161484.22754491016</v>
      </c>
      <c r="F88" s="29"/>
      <c r="G88" s="29"/>
      <c r="H88" s="28">
        <f>IFERROR(H87/H83,0)</f>
        <v>151553.76500000001</v>
      </c>
      <c r="I88" s="30"/>
      <c r="J88" s="30"/>
      <c r="K88" s="28">
        <f>IFERROR(K87/K83,0)</f>
        <v>73546.513958965574</v>
      </c>
      <c r="L88" s="30"/>
      <c r="M88" s="30"/>
      <c r="N88" s="28">
        <f>IFERROR(N87/N83,0)</f>
        <v>75229.36171863995</v>
      </c>
      <c r="O88" s="30"/>
      <c r="P88" s="30"/>
      <c r="Q88" s="28">
        <f>IFERROR(Q87/Q83,0)</f>
        <v>71411.304025034755</v>
      </c>
      <c r="R88" s="30"/>
      <c r="S88" s="30"/>
      <c r="T88" s="28">
        <f>IFERROR(T87/T83,0)</f>
        <v>68683.906260213262</v>
      </c>
      <c r="U88" s="30"/>
      <c r="V88" s="30"/>
      <c r="W88" s="28">
        <f>IFERROR(W87/W83,0)</f>
        <v>78675.359962193135</v>
      </c>
      <c r="X88" s="30"/>
      <c r="Y88" s="30"/>
      <c r="Z88" s="28">
        <f>IFERROR(Z87/Z83,0)</f>
        <v>0</v>
      </c>
      <c r="AA88" s="30"/>
      <c r="AB88" s="30"/>
      <c r="AC88" s="28">
        <f>IFERROR(AC87/AC83,0)</f>
        <v>0</v>
      </c>
      <c r="AD88" s="30"/>
      <c r="AE88" s="30"/>
      <c r="AF88" s="28">
        <f>IFERROR(AF87/AF83,0)</f>
        <v>0</v>
      </c>
      <c r="AG88" s="30"/>
      <c r="AH88" s="30"/>
      <c r="AI88" s="28">
        <f>IFERROR(AI87/AI83,0)</f>
        <v>0</v>
      </c>
      <c r="AJ88" s="31"/>
      <c r="AK88" s="31"/>
      <c r="AL88" s="94">
        <f>IFERROR(AL87/AL83,0)</f>
        <v>0</v>
      </c>
    </row>
    <row r="89" spans="1:38" x14ac:dyDescent="0.25">
      <c r="A89" s="73" t="s">
        <v>17</v>
      </c>
      <c r="B89" s="6" t="s">
        <v>57</v>
      </c>
      <c r="C89" s="7" t="s">
        <v>39</v>
      </c>
      <c r="D89" s="8" t="s">
        <v>23</v>
      </c>
      <c r="E89" s="41">
        <f>+[1]FERIYE!C440</f>
        <v>21825.279999999999</v>
      </c>
      <c r="F89" s="42"/>
      <c r="G89" s="42"/>
      <c r="H89" s="43">
        <f>+[1]FERIYE!F440</f>
        <v>20864</v>
      </c>
      <c r="I89" s="43"/>
      <c r="J89" s="43"/>
      <c r="K89" s="43">
        <f>+[1]FERIYE!I440</f>
        <v>24624.639999999999</v>
      </c>
      <c r="L89" s="43"/>
      <c r="M89" s="43"/>
      <c r="N89" s="43">
        <f>+[1]FERIYE!L440</f>
        <v>20403.2</v>
      </c>
      <c r="O89" s="43"/>
      <c r="P89" s="43"/>
      <c r="Q89" s="43">
        <f>+[1]FERIYE!O440</f>
        <v>18089.14</v>
      </c>
      <c r="R89" s="43"/>
      <c r="S89" s="43"/>
      <c r="T89" s="43">
        <f>+[1]FERIYE!R440</f>
        <v>24148.66</v>
      </c>
      <c r="U89" s="43"/>
      <c r="V89" s="43"/>
      <c r="W89" s="43">
        <f>+[1]FERIYE!U440</f>
        <v>41208.06</v>
      </c>
      <c r="X89" s="43"/>
      <c r="Y89" s="43"/>
      <c r="Z89" s="43">
        <f>+[1]FERIYE!X440</f>
        <v>0</v>
      </c>
      <c r="AA89" s="43"/>
      <c r="AB89" s="43"/>
      <c r="AC89" s="43">
        <f>+[1]FERIYE!AA440</f>
        <v>0</v>
      </c>
      <c r="AD89" s="43"/>
      <c r="AE89" s="43"/>
      <c r="AF89" s="43">
        <f>+[1]FERIYE!AD440</f>
        <v>0</v>
      </c>
      <c r="AG89" s="43"/>
      <c r="AH89" s="43"/>
      <c r="AI89" s="43">
        <f>+[1]FERIYE!AG440</f>
        <v>0</v>
      </c>
      <c r="AJ89" s="44"/>
      <c r="AK89" s="44"/>
      <c r="AL89" s="95">
        <f>+[1]FERIYE!AJ440</f>
        <v>0</v>
      </c>
    </row>
    <row r="90" spans="1:38" x14ac:dyDescent="0.25">
      <c r="A90" s="73" t="s">
        <v>17</v>
      </c>
      <c r="B90" s="6" t="s">
        <v>57</v>
      </c>
      <c r="C90" s="7" t="s">
        <v>40</v>
      </c>
      <c r="D90" s="34" t="s">
        <v>23</v>
      </c>
      <c r="E90" s="45">
        <f>+[1]FERIYE!C441</f>
        <v>4179.17</v>
      </c>
      <c r="F90" s="46"/>
      <c r="G90" s="46"/>
      <c r="H90" s="47">
        <f>+[1]FERIYE!F441</f>
        <v>3800.75</v>
      </c>
      <c r="I90" s="47"/>
      <c r="J90" s="47"/>
      <c r="K90" s="47">
        <f>+[1]FERIYE!I441</f>
        <v>3289.24</v>
      </c>
      <c r="L90" s="47"/>
      <c r="M90" s="47"/>
      <c r="N90" s="47">
        <f>+[1]FERIYE!L441</f>
        <v>3142.44</v>
      </c>
      <c r="O90" s="47"/>
      <c r="P90" s="47"/>
      <c r="Q90" s="47">
        <f>+[1]FERIYE!O441</f>
        <v>2169.9899999999998</v>
      </c>
      <c r="R90" s="47"/>
      <c r="S90" s="47"/>
      <c r="T90" s="47">
        <f>+[1]FERIYE!R441</f>
        <v>439.85</v>
      </c>
      <c r="U90" s="47"/>
      <c r="V90" s="47"/>
      <c r="W90" s="47">
        <f>+[1]FERIYE!U441</f>
        <v>0</v>
      </c>
      <c r="X90" s="47"/>
      <c r="Y90" s="47"/>
      <c r="Z90" s="47">
        <f>+[1]FERIYE!X441</f>
        <v>0</v>
      </c>
      <c r="AA90" s="47"/>
      <c r="AB90" s="47"/>
      <c r="AC90" s="47">
        <f>+[1]FERIYE!AA441</f>
        <v>0</v>
      </c>
      <c r="AD90" s="47"/>
      <c r="AE90" s="47"/>
      <c r="AF90" s="47">
        <f>+[1]FERIYE!AD441</f>
        <v>0</v>
      </c>
      <c r="AG90" s="47"/>
      <c r="AH90" s="47"/>
      <c r="AI90" s="47">
        <f>+[1]FERIYE!AG441</f>
        <v>0</v>
      </c>
      <c r="AJ90" s="48"/>
      <c r="AK90" s="48"/>
      <c r="AL90" s="96">
        <f>+[1]FERIYE!AJ441</f>
        <v>0</v>
      </c>
    </row>
    <row r="91" spans="1:38" x14ac:dyDescent="0.25">
      <c r="A91" s="73" t="s">
        <v>17</v>
      </c>
      <c r="B91" s="6" t="s">
        <v>57</v>
      </c>
      <c r="C91" s="7" t="s">
        <v>41</v>
      </c>
      <c r="D91" s="34" t="s">
        <v>23</v>
      </c>
      <c r="E91" s="45">
        <f>+[1]FERIYE!C442</f>
        <v>8955.7900000000009</v>
      </c>
      <c r="F91" s="46"/>
      <c r="G91" s="46"/>
      <c r="H91" s="47">
        <f>+[1]FERIYE!F442</f>
        <v>6269.05</v>
      </c>
      <c r="I91" s="47"/>
      <c r="J91" s="47"/>
      <c r="K91" s="47">
        <f>+[1]FERIYE!I442</f>
        <v>7459.84</v>
      </c>
      <c r="L91" s="47"/>
      <c r="M91" s="47"/>
      <c r="N91" s="47">
        <f>+[1]FERIYE!L442</f>
        <v>9047.35</v>
      </c>
      <c r="O91" s="47"/>
      <c r="P91" s="47"/>
      <c r="Q91" s="47">
        <f>+[1]FERIYE!O442</f>
        <v>9672</v>
      </c>
      <c r="R91" s="47"/>
      <c r="S91" s="47"/>
      <c r="T91" s="47">
        <f>+[1]FERIYE!R442</f>
        <v>14270.25</v>
      </c>
      <c r="U91" s="47"/>
      <c r="V91" s="47"/>
      <c r="W91" s="47">
        <f>+[1]FERIYE!U442</f>
        <v>8500</v>
      </c>
      <c r="X91" s="47"/>
      <c r="Y91" s="47"/>
      <c r="Z91" s="47">
        <f>+[1]FERIYE!X442</f>
        <v>0</v>
      </c>
      <c r="AA91" s="47"/>
      <c r="AB91" s="47"/>
      <c r="AC91" s="47">
        <f>+[1]FERIYE!AA442</f>
        <v>0</v>
      </c>
      <c r="AD91" s="47"/>
      <c r="AE91" s="47"/>
      <c r="AF91" s="47">
        <f>+[1]FERIYE!AD442</f>
        <v>0</v>
      </c>
      <c r="AG91" s="47"/>
      <c r="AH91" s="47"/>
      <c r="AI91" s="47">
        <f>+[1]FERIYE!AG442</f>
        <v>0</v>
      </c>
      <c r="AJ91" s="48"/>
      <c r="AK91" s="48"/>
      <c r="AL91" s="96">
        <f>+[1]FERIYE!AJ442</f>
        <v>0</v>
      </c>
    </row>
    <row r="92" spans="1:38" x14ac:dyDescent="0.25">
      <c r="A92" s="73" t="s">
        <v>17</v>
      </c>
      <c r="B92" s="6" t="s">
        <v>57</v>
      </c>
      <c r="C92" s="7" t="s">
        <v>42</v>
      </c>
      <c r="D92" s="34" t="s">
        <v>43</v>
      </c>
      <c r="E92" s="97">
        <f>SUM(SUMIFS([1]!Sorgu1[ISLEM_TUTARI_TL],
[1]!Sorgu1[TIP],"NAZIM HESAP",
[1]!Sorgu1[Hesap Kodu],"960.02.01.004",
[1]!Sorgu1[AY],E$5,
[1]!Sorgu1[YIL],2026))</f>
        <v>3410.2</v>
      </c>
      <c r="F92" s="98"/>
      <c r="G92" s="98"/>
      <c r="H92" s="99">
        <f>SUM(SUMIFS([1]!Sorgu1[ISLEM_TUTARI_TL],
[1]!Sorgu1[TIP],"NAZIM HESAP",
[1]!Sorgu1[Hesap Kodu],"960.02.01.004",
[1]!Sorgu1[AY],H$5,
[1]!Sorgu1[YIL],2026))</f>
        <v>3260</v>
      </c>
      <c r="I92" s="99"/>
      <c r="J92" s="99"/>
      <c r="K92" s="99">
        <f>SUM(SUMIFS([1]!Sorgu1[ISLEM_TUTARI_TL],
[1]!Sorgu1[TIP],"NAZIM HESAP",
[1]!Sorgu1[Hesap Kodu],"960.02.01.004",
[1]!Sorgu1[AY],K$5,
[1]!Sorgu1[YIL],2026))</f>
        <v>3847.6</v>
      </c>
      <c r="L92" s="99"/>
      <c r="M92" s="99"/>
      <c r="N92" s="99">
        <f>SUM(SUMIFS([1]!Sorgu1[ISLEM_TUTARI_TL],
[1]!Sorgu1[TIP],"NAZIM HESAP",
[1]!Sorgu1[Hesap Kodu],"960.02.01.004",
[1]!Sorgu1[AY],N$5,
[1]!Sorgu1[YIL],2026))</f>
        <v>3188</v>
      </c>
      <c r="O92" s="99"/>
      <c r="P92" s="99"/>
      <c r="Q92" s="99">
        <f>SUM(SUMIFS([1]!Sorgu1[ISLEM_TUTARI_TL],
[1]!Sorgu1[TIP],"NAZIM HESAP",
[1]!Sorgu1[Hesap Kodu],"960.02.01.004",
[1]!Sorgu1[AY],Q$5,
[1]!Sorgu1[YIL],2026))</f>
        <v>3439</v>
      </c>
      <c r="R92" s="99"/>
      <c r="S92" s="99"/>
      <c r="T92" s="99">
        <f>SUM(SUMIFS([1]!Sorgu1[ISLEM_TUTARI_TL],
[1]!Sorgu1[TIP],"NAZIM HESAP",
[1]!Sorgu1[Hesap Kodu],"960.02.01.004",
[1]!Sorgu1[AY],T$5,
[1]!Sorgu1[YIL],2026))</f>
        <v>4591</v>
      </c>
      <c r="U92" s="99"/>
      <c r="V92" s="99"/>
      <c r="W92" s="99">
        <f>SUM(SUMIFS([1]!Sorgu1[ISLEM_TUTARI_TL],
[1]!Sorgu1[TIP],"NAZIM HESAP",
[1]!Sorgu1[Hesap Kodu],"960.02.01.004",
[1]!Sorgu1[AY],W$5,
[1]!Sorgu1[YIL],2026))</f>
        <v>7834.23</v>
      </c>
      <c r="X92" s="99"/>
      <c r="Y92" s="99"/>
      <c r="Z92" s="99">
        <f>SUM(SUMIFS([1]!Sorgu1[ISLEM_TUTARI_TL],
[1]!Sorgu1[TIP],"NAZIM HESAP",
[1]!Sorgu1[Hesap Kodu],"960.02.01.004",
[1]!Sorgu1[AY],Z$5,
[1]!Sorgu1[YIL],2026))</f>
        <v>0</v>
      </c>
      <c r="AA92" s="99"/>
      <c r="AB92" s="99"/>
      <c r="AC92" s="99">
        <f>SUM(SUMIFS([1]!Sorgu1[ISLEM_TUTARI_TL],
[1]!Sorgu1[TIP],"NAZIM HESAP",
[1]!Sorgu1[Hesap Kodu],"960.02.01.004",
[1]!Sorgu1[AY],AC$5,
[1]!Sorgu1[YIL],2026))</f>
        <v>0</v>
      </c>
      <c r="AD92" s="99"/>
      <c r="AE92" s="99"/>
      <c r="AF92" s="99">
        <f>SUM(SUMIFS([1]!Sorgu1[ISLEM_TUTARI_TL],
[1]!Sorgu1[TIP],"NAZIM HESAP",
[1]!Sorgu1[Hesap Kodu],"960.02.01.004",
[1]!Sorgu1[AY],AF$5,
[1]!Sorgu1[YIL],2026))</f>
        <v>0</v>
      </c>
      <c r="AG92" s="99"/>
      <c r="AH92" s="99"/>
      <c r="AI92" s="99">
        <f>SUM(SUMIFS([1]!Sorgu1[ISLEM_TUTARI_TL],
[1]!Sorgu1[TIP],"NAZIM HESAP",
[1]!Sorgu1[Hesap Kodu],"960.02.01.004",
[1]!Sorgu1[AY],AI$5,
[1]!Sorgu1[YIL],2026))</f>
        <v>0</v>
      </c>
      <c r="AJ92" s="100"/>
      <c r="AK92" s="100"/>
      <c r="AL92" s="101">
        <f>SUM(SUMIFS([1]!Sorgu1[ISLEM_TUTARI_TL],
[1]!Sorgu1[TIP],"NAZIM HESAP",
[1]!Sorgu1[Hesap Kodu],"960.02.01.004",
[1]!Sorgu1[AY],AL$5,
[1]!Sorgu1[YIL],2026))</f>
        <v>0</v>
      </c>
    </row>
    <row r="93" spans="1:38" x14ac:dyDescent="0.25">
      <c r="A93" s="73" t="s">
        <v>17</v>
      </c>
      <c r="B93" s="6" t="s">
        <v>57</v>
      </c>
      <c r="C93" s="7" t="s">
        <v>44</v>
      </c>
      <c r="D93" s="34" t="s">
        <v>45</v>
      </c>
      <c r="E93" s="102">
        <f>SUM(SUMIFS([1]!Sorgu1[ISLEM_TUTARI_TL],
[1]!Sorgu1[TIP],"NAZIM HESAP",
[1]!Sorgu1[Hesap Kodu],"960.02.01.006",
[1]!Sorgu1[AY],E$5,
[1]!Sorgu1[YIL],2026))</f>
        <v>181</v>
      </c>
      <c r="F93" s="103"/>
      <c r="G93" s="103"/>
      <c r="H93" s="104">
        <f>SUM(SUMIFS([1]!Sorgu1[ISLEM_TUTARI_TL],
[1]!Sorgu1[TIP],"NAZIM HESAP",
[1]!Sorgu1[Hesap Kodu],"960.02.01.006",
[1]!Sorgu1[AY],H$5,
[1]!Sorgu1[YIL],2026))</f>
        <v>164</v>
      </c>
      <c r="I93" s="104"/>
      <c r="J93" s="104"/>
      <c r="K93" s="104">
        <f>SUM(SUMIFS([1]!Sorgu1[ISLEM_TUTARI_TL],
[1]!Sorgu1[TIP],"NAZIM HESAP",
[1]!Sorgu1[Hesap Kodu],"960.02.01.006",
[1]!Sorgu1[AY],K$5,
[1]!Sorgu1[YIL],2026))</f>
        <v>141</v>
      </c>
      <c r="L93" s="104"/>
      <c r="M93" s="104"/>
      <c r="N93" s="104">
        <f>SUM(SUMIFS([1]!Sorgu1[ISLEM_TUTARI_TL],
[1]!Sorgu1[TIP],"NAZIM HESAP",
[1]!Sorgu1[Hesap Kodu],"960.02.01.006",
[1]!Sorgu1[AY],N$5,
[1]!Sorgu1[YIL],2026))</f>
        <v>135</v>
      </c>
      <c r="O93" s="104"/>
      <c r="P93" s="104"/>
      <c r="Q93" s="104">
        <f>SUM(SUMIFS([1]!Sorgu1[ISLEM_TUTARI_TL],
[1]!Sorgu1[TIP],"NAZIM HESAP",
[1]!Sorgu1[Hesap Kodu],"960.02.01.006",
[1]!Sorgu1[AY],Q$5,
[1]!Sorgu1[YIL],2026))</f>
        <v>78</v>
      </c>
      <c r="R93" s="104"/>
      <c r="S93" s="104"/>
      <c r="T93" s="104">
        <f>SUM(SUMIFS([1]!Sorgu1[ISLEM_TUTARI_TL],
[1]!Sorgu1[TIP],"NAZIM HESAP",
[1]!Sorgu1[Hesap Kodu],"960.02.01.006",
[1]!Sorgu1[AY],T$5,
[1]!Sorgu1[YIL],2026))</f>
        <v>27</v>
      </c>
      <c r="U93" s="104"/>
      <c r="V93" s="104"/>
      <c r="W93" s="104">
        <f>SUM(SUMIFS([1]!Sorgu1[ISLEM_TUTARI_TL],
[1]!Sorgu1[TIP],"NAZIM HESAP",
[1]!Sorgu1[Hesap Kodu],"960.02.01.006",
[1]!Sorgu1[AY],W$5,
[1]!Sorgu1[YIL],2026))</f>
        <v>26</v>
      </c>
      <c r="X93" s="104"/>
      <c r="Y93" s="104"/>
      <c r="Z93" s="104">
        <f>SUM(SUMIFS([1]!Sorgu1[ISLEM_TUTARI_TL],
[1]!Sorgu1[TIP],"NAZIM HESAP",
[1]!Sorgu1[Hesap Kodu],"960.02.01.006",
[1]!Sorgu1[AY],Z$5,
[1]!Sorgu1[YIL],2026))</f>
        <v>0</v>
      </c>
      <c r="AA93" s="104"/>
      <c r="AB93" s="104"/>
      <c r="AC93" s="104">
        <f>SUM(SUMIFS([1]!Sorgu1[ISLEM_TUTARI_TL],
[1]!Sorgu1[TIP],"NAZIM HESAP",
[1]!Sorgu1[Hesap Kodu],"960.02.01.006",
[1]!Sorgu1[AY],AC$5,
[1]!Sorgu1[YIL],2026))</f>
        <v>0</v>
      </c>
      <c r="AD93" s="104"/>
      <c r="AE93" s="104"/>
      <c r="AF93" s="104">
        <f>SUM(SUMIFS([1]!Sorgu1[ISLEM_TUTARI_TL],
[1]!Sorgu1[TIP],"NAZIM HESAP",
[1]!Sorgu1[Hesap Kodu],"960.02.01.006",
[1]!Sorgu1[AY],AF$5,
[1]!Sorgu1[YIL],2026))</f>
        <v>0</v>
      </c>
      <c r="AG93" s="104"/>
      <c r="AH93" s="104"/>
      <c r="AI93" s="104">
        <f>SUM(SUMIFS([1]!Sorgu1[ISLEM_TUTARI_TL],
[1]!Sorgu1[TIP],"NAZIM HESAP",
[1]!Sorgu1[Hesap Kodu],"960.02.01.006",
[1]!Sorgu1[AY],AI$5,
[1]!Sorgu1[YIL],2026))</f>
        <v>0</v>
      </c>
      <c r="AJ93" s="105"/>
      <c r="AK93" s="105"/>
      <c r="AL93" s="106">
        <f>SUM(SUMIFS([1]!Sorgu1[ISLEM_TUTARI_TL],
[1]!Sorgu1[TIP],"NAZIM HESAP",
[1]!Sorgu1[Hesap Kodu],"960.02.01.006",
[1]!Sorgu1[AY],AL$5,
[1]!Sorgu1[YIL],2026))</f>
        <v>0</v>
      </c>
    </row>
    <row r="94" spans="1:38" x14ac:dyDescent="0.25">
      <c r="A94" s="73" t="s">
        <v>17</v>
      </c>
      <c r="B94" s="6" t="s">
        <v>57</v>
      </c>
      <c r="C94" s="7" t="s">
        <v>46</v>
      </c>
      <c r="D94" s="34" t="s">
        <v>45</v>
      </c>
      <c r="E94" s="107">
        <f>SUM(SUMIFS([1]!Sorgu1[ISLEM_TUTARI_TL],
[1]!Sorgu1[TIP],"NAZIM HESAP",
[1]!Sorgu1[Hesap Kodu],"960.02.01.005",
[1]!Sorgu1[AY],E$5,
[1]!Sorgu1[YIL],2026))</f>
        <v>50</v>
      </c>
      <c r="F94" s="108"/>
      <c r="G94" s="108"/>
      <c r="H94" s="109">
        <f>SUM(SUMIFS([1]!Sorgu1[ISLEM_TUTARI_TL],
[1]!Sorgu1[TIP],"NAZIM HESAP",
[1]!Sorgu1[Hesap Kodu],"960.02.01.005",
[1]!Sorgu1[AY],H$5,
[1]!Sorgu1[YIL],2026))</f>
        <v>35</v>
      </c>
      <c r="I94" s="109"/>
      <c r="J94" s="109"/>
      <c r="K94" s="109">
        <f>SUM(SUMIFS([1]!Sorgu1[ISLEM_TUTARI_TL],
[1]!Sorgu1[TIP],"NAZIM HESAP",
[1]!Sorgu1[Hesap Kodu],"960.02.01.005",
[1]!Sorgu1[AY],K$5,
[1]!Sorgu1[YIL],2026))</f>
        <v>41</v>
      </c>
      <c r="L94" s="109"/>
      <c r="M94" s="109"/>
      <c r="N94" s="109">
        <f>SUM(SUMIFS([1]!Sorgu1[ISLEM_TUTARI_TL],
[1]!Sorgu1[TIP],"NAZIM HESAP",
[1]!Sorgu1[Hesap Kodu],"960.02.01.005",
[1]!Sorgu1[AY],N$5,
[1]!Sorgu1[YIL],2026))</f>
        <v>37</v>
      </c>
      <c r="O94" s="109"/>
      <c r="P94" s="109"/>
      <c r="Q94" s="109">
        <f>SUM(SUMIFS([1]!Sorgu1[ISLEM_TUTARI_TL],
[1]!Sorgu1[TIP],"NAZIM HESAP",
[1]!Sorgu1[Hesap Kodu],"960.02.01.005",
[1]!Sorgu1[AY],Q$5,
[1]!Sorgu1[YIL],2026))</f>
        <v>50</v>
      </c>
      <c r="R94" s="109"/>
      <c r="S94" s="109"/>
      <c r="T94" s="109">
        <f>SUM(SUMIFS([1]!Sorgu1[ISLEM_TUTARI_TL],
[1]!Sorgu1[TIP],"NAZIM HESAP",
[1]!Sorgu1[Hesap Kodu],"960.02.01.005",
[1]!Sorgu1[AY],T$5,
[1]!Sorgu1[YIL],2026))</f>
        <v>71</v>
      </c>
      <c r="U94" s="109"/>
      <c r="V94" s="109"/>
      <c r="W94" s="109">
        <f>SUM(SUMIFS([1]!Sorgu1[ISLEM_TUTARI_TL],
[1]!Sorgu1[TIP],"NAZIM HESAP",
[1]!Sorgu1[Hesap Kodu],"960.02.01.005",
[1]!Sorgu1[AY],W$5,
[1]!Sorgu1[YIL],2026))</f>
        <v>71</v>
      </c>
      <c r="X94" s="109"/>
      <c r="Y94" s="109"/>
      <c r="Z94" s="109">
        <f>SUM(SUMIFS([1]!Sorgu1[ISLEM_TUTARI_TL],
[1]!Sorgu1[TIP],"NAZIM HESAP",
[1]!Sorgu1[Hesap Kodu],"960.02.01.005",
[1]!Sorgu1[AY],Z$5,
[1]!Sorgu1[YIL],2026))</f>
        <v>0</v>
      </c>
      <c r="AA94" s="109"/>
      <c r="AB94" s="109"/>
      <c r="AC94" s="109">
        <f>SUM(SUMIFS([1]!Sorgu1[ISLEM_TUTARI_TL],
[1]!Sorgu1[TIP],"NAZIM HESAP",
[1]!Sorgu1[Hesap Kodu],"960.02.01.005",
[1]!Sorgu1[AY],AC$5,
[1]!Sorgu1[YIL],2026))</f>
        <v>0</v>
      </c>
      <c r="AD94" s="109"/>
      <c r="AE94" s="109"/>
      <c r="AF94" s="109">
        <f>SUM(SUMIFS([1]!Sorgu1[ISLEM_TUTARI_TL],
[1]!Sorgu1[TIP],"NAZIM HESAP",
[1]!Sorgu1[Hesap Kodu],"960.02.01.005",
[1]!Sorgu1[AY],AF$5,
[1]!Sorgu1[YIL],2026))</f>
        <v>0</v>
      </c>
      <c r="AG94" s="109"/>
      <c r="AH94" s="109"/>
      <c r="AI94" s="109">
        <f>SUM(SUMIFS([1]!Sorgu1[ISLEM_TUTARI_TL],
[1]!Sorgu1[TIP],"NAZIM HESAP",
[1]!Sorgu1[Hesap Kodu],"960.02.01.005",
[1]!Sorgu1[AY],AI$5,
[1]!Sorgu1[YIL],2026))</f>
        <v>0</v>
      </c>
      <c r="AJ94" s="110"/>
      <c r="AK94" s="110"/>
      <c r="AL94" s="111">
        <f>SUM(SUMIFS([1]!Sorgu1[ISLEM_TUTARI_TL],
[1]!Sorgu1[TIP],"NAZIM HESAP",
[1]!Sorgu1[Hesap Kodu],"960.02.01.005",
[1]!Sorgu1[AY],AL$5,
[1]!Sorgu1[YIL],2026))</f>
        <v>0</v>
      </c>
    </row>
    <row r="95" spans="1:38" x14ac:dyDescent="0.25">
      <c r="A95" s="73" t="s">
        <v>17</v>
      </c>
      <c r="B95" s="6" t="s">
        <v>57</v>
      </c>
      <c r="C95" s="7" t="s">
        <v>47</v>
      </c>
      <c r="D95" s="8" t="s">
        <v>23</v>
      </c>
      <c r="E95" s="49">
        <f>IFERROR(+E89/E92,0)</f>
        <v>6.4</v>
      </c>
      <c r="F95" s="50"/>
      <c r="G95" s="50"/>
      <c r="H95" s="51">
        <f>IFERROR(+H89/H92,0)</f>
        <v>6.4</v>
      </c>
      <c r="I95" s="52"/>
      <c r="J95" s="52"/>
      <c r="K95" s="51">
        <f>IFERROR(+K89/K92,0)</f>
        <v>6.4</v>
      </c>
      <c r="L95" s="52"/>
      <c r="M95" s="52"/>
      <c r="N95" s="51">
        <f>IFERROR(+N89/N92,0)</f>
        <v>6.4</v>
      </c>
      <c r="O95" s="52"/>
      <c r="P95" s="52"/>
      <c r="Q95" s="51">
        <f>IFERROR(+Q89/Q92,0)</f>
        <v>5.26</v>
      </c>
      <c r="R95" s="52"/>
      <c r="S95" s="52"/>
      <c r="T95" s="51">
        <f>IFERROR(+T89/T92,0)</f>
        <v>5.26</v>
      </c>
      <c r="U95" s="52"/>
      <c r="V95" s="52"/>
      <c r="W95" s="51">
        <f>IFERROR(+W89/W92,0)</f>
        <v>5.2600013019786243</v>
      </c>
      <c r="X95" s="52"/>
      <c r="Y95" s="52"/>
      <c r="Z95" s="51">
        <f>IFERROR(+Z89/Z92,0)</f>
        <v>0</v>
      </c>
      <c r="AA95" s="52"/>
      <c r="AB95" s="52"/>
      <c r="AC95" s="51">
        <f>IFERROR(+AC89/AC92,0)</f>
        <v>0</v>
      </c>
      <c r="AD95" s="52"/>
      <c r="AE95" s="52"/>
      <c r="AF95" s="51">
        <f>IFERROR(+AF89/AF92,0)</f>
        <v>0</v>
      </c>
      <c r="AG95" s="52"/>
      <c r="AH95" s="52"/>
      <c r="AI95" s="51">
        <f>IFERROR(+AI89/AI92,0)</f>
        <v>0</v>
      </c>
      <c r="AJ95" s="53"/>
      <c r="AK95" s="53"/>
      <c r="AL95" s="112">
        <f>IFERROR(+AL89/AL92,0)</f>
        <v>0</v>
      </c>
    </row>
    <row r="96" spans="1:38" x14ac:dyDescent="0.25">
      <c r="A96" s="73" t="s">
        <v>17</v>
      </c>
      <c r="B96" s="6" t="s">
        <v>57</v>
      </c>
      <c r="C96" s="7" t="s">
        <v>48</v>
      </c>
      <c r="D96" s="34" t="s">
        <v>23</v>
      </c>
      <c r="E96" s="49">
        <f>IFERROR(+E90/E93,0)</f>
        <v>23.089337016574586</v>
      </c>
      <c r="F96" s="50"/>
      <c r="G96" s="50"/>
      <c r="H96" s="51">
        <f>IFERROR(+H90/H93,0)</f>
        <v>23.175304878048781</v>
      </c>
      <c r="I96" s="52"/>
      <c r="J96" s="52"/>
      <c r="K96" s="51">
        <f>IFERROR(+K90/K93,0)</f>
        <v>23.327943262411345</v>
      </c>
      <c r="L96" s="52"/>
      <c r="M96" s="52"/>
      <c r="N96" s="51">
        <f>IFERROR(+N90/N93,0)</f>
        <v>23.277333333333335</v>
      </c>
      <c r="O96" s="52"/>
      <c r="P96" s="52"/>
      <c r="Q96" s="51">
        <f>IFERROR(+Q90/Q93,0)</f>
        <v>27.820384615384611</v>
      </c>
      <c r="R96" s="52"/>
      <c r="S96" s="52"/>
      <c r="T96" s="51">
        <f>IFERROR(+T90/T93,0)</f>
        <v>16.290740740740741</v>
      </c>
      <c r="U96" s="52"/>
      <c r="V96" s="52"/>
      <c r="W96" s="51">
        <f>IFERROR(+W90/W93,0)</f>
        <v>0</v>
      </c>
      <c r="X96" s="52"/>
      <c r="Y96" s="52"/>
      <c r="Z96" s="51">
        <f>IFERROR(+Z90/Z93,0)</f>
        <v>0</v>
      </c>
      <c r="AA96" s="52"/>
      <c r="AB96" s="52"/>
      <c r="AC96" s="51">
        <f>IFERROR(+AC90/AC93,0)</f>
        <v>0</v>
      </c>
      <c r="AD96" s="52"/>
      <c r="AE96" s="52"/>
      <c r="AF96" s="51">
        <f>IFERROR(+AF90/AF93,0)</f>
        <v>0</v>
      </c>
      <c r="AG96" s="52"/>
      <c r="AH96" s="52"/>
      <c r="AI96" s="51">
        <f>IFERROR(+AI90/AI93,0)</f>
        <v>0</v>
      </c>
      <c r="AJ96" s="53"/>
      <c r="AK96" s="53"/>
      <c r="AL96" s="112">
        <f>IFERROR(+AL90/AL93,0)</f>
        <v>0</v>
      </c>
    </row>
    <row r="97" spans="1:38" x14ac:dyDescent="0.25">
      <c r="A97" s="73" t="s">
        <v>17</v>
      </c>
      <c r="B97" s="6" t="s">
        <v>57</v>
      </c>
      <c r="C97" s="7" t="s">
        <v>49</v>
      </c>
      <c r="D97" s="34" t="s">
        <v>23</v>
      </c>
      <c r="E97" s="54">
        <f>IFERROR(+E91/E94,0)</f>
        <v>179.11580000000001</v>
      </c>
      <c r="F97" s="55"/>
      <c r="G97" s="55"/>
      <c r="H97" s="56">
        <f>IFERROR(+H91/H94,0)</f>
        <v>179.11571428571429</v>
      </c>
      <c r="I97" s="57"/>
      <c r="J97" s="57"/>
      <c r="K97" s="56">
        <f>IFERROR(+K91/K94,0)</f>
        <v>181.94731707317072</v>
      </c>
      <c r="L97" s="57"/>
      <c r="M97" s="57"/>
      <c r="N97" s="56">
        <f>IFERROR(+N91/N94,0)</f>
        <v>244.52297297297298</v>
      </c>
      <c r="O97" s="57"/>
      <c r="P97" s="57"/>
      <c r="Q97" s="56">
        <f>IFERROR(+Q91/Q94,0)</f>
        <v>193.44</v>
      </c>
      <c r="R97" s="57"/>
      <c r="S97" s="57"/>
      <c r="T97" s="56">
        <f>IFERROR(+T91/T94,0)</f>
        <v>200.9894366197183</v>
      </c>
      <c r="U97" s="57"/>
      <c r="V97" s="57"/>
      <c r="W97" s="56">
        <f>IFERROR(+W91/W94,0)</f>
        <v>119.71830985915493</v>
      </c>
      <c r="X97" s="57"/>
      <c r="Y97" s="57"/>
      <c r="Z97" s="56">
        <f>IFERROR(+Z91/Z94,0)</f>
        <v>0</v>
      </c>
      <c r="AA97" s="57"/>
      <c r="AB97" s="57"/>
      <c r="AC97" s="56">
        <f>IFERROR(+AC91/AC94,0)</f>
        <v>0</v>
      </c>
      <c r="AD97" s="57"/>
      <c r="AE97" s="57"/>
      <c r="AF97" s="56">
        <f>IFERROR(+AF91/AF94,0)</f>
        <v>0</v>
      </c>
      <c r="AG97" s="57"/>
      <c r="AH97" s="57"/>
      <c r="AI97" s="56">
        <f>IFERROR(+AI91/AI94,0)</f>
        <v>0</v>
      </c>
      <c r="AJ97" s="58"/>
      <c r="AK97" s="58"/>
      <c r="AL97" s="113">
        <f>IFERROR(+AL91/AL94,0)</f>
        <v>0</v>
      </c>
    </row>
    <row r="98" spans="1:38" x14ac:dyDescent="0.25">
      <c r="A98" s="73" t="s">
        <v>17</v>
      </c>
      <c r="B98" s="6" t="s">
        <v>57</v>
      </c>
      <c r="C98" s="7" t="s">
        <v>50</v>
      </c>
      <c r="D98" s="8" t="s">
        <v>23</v>
      </c>
      <c r="E98" s="59">
        <f>+[1]FERIYE!C467</f>
        <v>0</v>
      </c>
      <c r="F98" s="60"/>
      <c r="G98" s="60"/>
      <c r="H98" s="61">
        <f>+[1]FERIYE!F467</f>
        <v>0</v>
      </c>
      <c r="I98" s="61"/>
      <c r="J98" s="61"/>
      <c r="K98" s="61">
        <f>+[1]FERIYE!I467</f>
        <v>0</v>
      </c>
      <c r="L98" s="61"/>
      <c r="M98" s="61"/>
      <c r="N98" s="61">
        <f>+[1]FERIYE!L467</f>
        <v>0</v>
      </c>
      <c r="O98" s="61"/>
      <c r="P98" s="61"/>
      <c r="Q98" s="61">
        <f>+[1]FERIYE!O467</f>
        <v>0</v>
      </c>
      <c r="R98" s="61"/>
      <c r="S98" s="61"/>
      <c r="T98" s="61">
        <f>+[1]FERIYE!R467</f>
        <v>0</v>
      </c>
      <c r="U98" s="61"/>
      <c r="V98" s="61"/>
      <c r="W98" s="61">
        <f>+[1]FERIYE!U467</f>
        <v>0</v>
      </c>
      <c r="X98" s="61"/>
      <c r="Y98" s="61"/>
      <c r="Z98" s="61">
        <f>+[1]FERIYE!X467</f>
        <v>0</v>
      </c>
      <c r="AA98" s="61"/>
      <c r="AB98" s="61"/>
      <c r="AC98" s="61">
        <f>+[1]FERIYE!AA467</f>
        <v>0</v>
      </c>
      <c r="AD98" s="61"/>
      <c r="AE98" s="61"/>
      <c r="AF98" s="61">
        <f>+[1]FERIYE!AD467</f>
        <v>0</v>
      </c>
      <c r="AG98" s="61"/>
      <c r="AH98" s="61"/>
      <c r="AI98" s="61">
        <f>+[1]FERIYE!AG467</f>
        <v>0</v>
      </c>
      <c r="AJ98" s="62"/>
      <c r="AK98" s="62"/>
      <c r="AL98" s="114">
        <f>+[1]FERIYE!AJ467</f>
        <v>0</v>
      </c>
    </row>
    <row r="99" spans="1:38" x14ac:dyDescent="0.25">
      <c r="A99" s="73" t="s">
        <v>17</v>
      </c>
      <c r="B99" s="6" t="s">
        <v>57</v>
      </c>
      <c r="C99" s="7" t="s">
        <v>51</v>
      </c>
      <c r="D99" s="8" t="s">
        <v>20</v>
      </c>
      <c r="E99" s="9"/>
      <c r="F99" s="10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2"/>
      <c r="AK99" s="12"/>
      <c r="AL99" s="74"/>
    </row>
    <row r="100" spans="1:38" x14ac:dyDescent="0.25">
      <c r="A100" s="85" t="s">
        <v>17</v>
      </c>
      <c r="B100" s="32" t="s">
        <v>57</v>
      </c>
      <c r="C100" s="33" t="s">
        <v>52</v>
      </c>
      <c r="D100" s="34" t="s">
        <v>23</v>
      </c>
      <c r="E100" s="24">
        <f>+[1]FERIYE!C475</f>
        <v>64958.307812683684</v>
      </c>
      <c r="F100" s="25"/>
      <c r="G100" s="25"/>
      <c r="H100" s="26">
        <f>+[1]FERIYE!F475</f>
        <v>62437.79892610493</v>
      </c>
      <c r="I100" s="26"/>
      <c r="J100" s="26"/>
      <c r="K100" s="26">
        <f>+[1]FERIYE!I475</f>
        <v>84420.523776438538</v>
      </c>
      <c r="L100" s="26"/>
      <c r="M100" s="26"/>
      <c r="N100" s="26">
        <f>+[1]FERIYE!L475</f>
        <v>71423.365690135586</v>
      </c>
      <c r="O100" s="26"/>
      <c r="P100" s="26"/>
      <c r="Q100" s="26">
        <f>+[1]FERIYE!O475</f>
        <v>35072.204890448418</v>
      </c>
      <c r="R100" s="26"/>
      <c r="S100" s="26"/>
      <c r="T100" s="26">
        <f>+[1]FERIYE!R475</f>
        <v>40004.484581190562</v>
      </c>
      <c r="U100" s="26"/>
      <c r="V100" s="26"/>
      <c r="W100" s="26">
        <f>+[1]FERIYE!U475</f>
        <v>64949.674756388304</v>
      </c>
      <c r="X100" s="26"/>
      <c r="Y100" s="26"/>
      <c r="Z100" s="26">
        <f>+[1]FERIYE!X475</f>
        <v>0</v>
      </c>
      <c r="AA100" s="26"/>
      <c r="AB100" s="26"/>
      <c r="AC100" s="26">
        <f>+[1]FERIYE!AA475</f>
        <v>0</v>
      </c>
      <c r="AD100" s="26"/>
      <c r="AE100" s="26"/>
      <c r="AF100" s="26">
        <f>+[1]FERIYE!AD475</f>
        <v>0</v>
      </c>
      <c r="AG100" s="26"/>
      <c r="AH100" s="26"/>
      <c r="AI100" s="26">
        <f>+[1]FERIYE!AG475</f>
        <v>0</v>
      </c>
      <c r="AJ100" s="27"/>
      <c r="AK100" s="27"/>
      <c r="AL100" s="78">
        <f>+[1]FERIYE!AJ475</f>
        <v>0</v>
      </c>
    </row>
    <row r="101" spans="1:38" x14ac:dyDescent="0.25">
      <c r="A101" s="85" t="s">
        <v>17</v>
      </c>
      <c r="B101" s="32" t="s">
        <v>57</v>
      </c>
      <c r="C101" s="33" t="s">
        <v>53</v>
      </c>
      <c r="D101" s="34" t="s">
        <v>23</v>
      </c>
      <c r="E101" s="28">
        <f>+[1]FERIYE!C482-[1]FERIYE!C475-[1]FERIYE!C467-[1]FERIYE!C440-[1]FERIYE!C441-[1]FERIYE!C442</f>
        <v>38944.840000000018</v>
      </c>
      <c r="F101" s="29"/>
      <c r="G101" s="29"/>
      <c r="H101" s="30">
        <f>+[1]FERIYE!F482-[1]FERIYE!F475-[1]FERIYE!F467-[1]FERIYE!F440-[1]FERIYE!F441-[1]FERIYE!F442</f>
        <v>78868.190000000017</v>
      </c>
      <c r="I101" s="30"/>
      <c r="J101" s="30"/>
      <c r="K101" s="30">
        <f>+[1]FERIYE!I482-[1]FERIYE!I475-[1]FERIYE!I467-[1]FERIYE!I440-[1]FERIYE!I441-[1]FERIYE!I442</f>
        <v>78953.009999999995</v>
      </c>
      <c r="L101" s="30"/>
      <c r="M101" s="30"/>
      <c r="N101" s="30">
        <f>+[1]FERIYE!L482-[1]FERIYE!L475-[1]FERIYE!L467-[1]FERIYE!L440-[1]FERIYE!L441-[1]FERIYE!L442</f>
        <v>69607.819999999978</v>
      </c>
      <c r="O101" s="30"/>
      <c r="P101" s="30"/>
      <c r="Q101" s="30">
        <f>+[1]FERIYE!O482-[1]FERIYE!O475-[1]FERIYE!O467-[1]FERIYE!O440-[1]FERIYE!O441-[1]FERIYE!O442</f>
        <v>42282.389999999992</v>
      </c>
      <c r="R101" s="30"/>
      <c r="S101" s="30"/>
      <c r="T101" s="30">
        <f>+[1]FERIYE!R482-[1]FERIYE!R475-[1]FERIYE!R467-[1]FERIYE!R440-[1]FERIYE!R441-[1]FERIYE!R442</f>
        <v>45764.039999999986</v>
      </c>
      <c r="U101" s="30"/>
      <c r="V101" s="30"/>
      <c r="W101" s="30">
        <f>+[1]FERIYE!U482-[1]FERIYE!U475-[1]FERIYE!U467-[1]FERIYE!U440-[1]FERIYE!U441-[1]FERIYE!U442</f>
        <v>35839.489999999991</v>
      </c>
      <c r="X101" s="30"/>
      <c r="Y101" s="30"/>
      <c r="Z101" s="30">
        <f>+[1]FERIYE!X482-[1]FERIYE!X475-[1]FERIYE!X467-[1]FERIYE!X440-[1]FERIYE!X441-[1]FERIYE!X442</f>
        <v>0</v>
      </c>
      <c r="AA101" s="30"/>
      <c r="AB101" s="30"/>
      <c r="AC101" s="30">
        <f>+[1]FERIYE!AA482-[1]FERIYE!AA475-[1]FERIYE!AA467-[1]FERIYE!AA440-[1]FERIYE!AA441-[1]FERIYE!AA442</f>
        <v>0</v>
      </c>
      <c r="AD101" s="30"/>
      <c r="AE101" s="30"/>
      <c r="AF101" s="30">
        <f>+[1]FERIYE!AD482-[1]FERIYE!AD475-[1]FERIYE!AD467-[1]FERIYE!AD440-[1]FERIYE!AD441-[1]FERIYE!AD442</f>
        <v>0</v>
      </c>
      <c r="AG101" s="30"/>
      <c r="AH101" s="30"/>
      <c r="AI101" s="30">
        <f>+[1]FERIYE!AG482-[1]FERIYE!AG475-[1]FERIYE!AG467-[1]FERIYE!AG440-[1]FERIYE!AG441-[1]FERIYE!AG442</f>
        <v>0</v>
      </c>
      <c r="AJ101" s="31"/>
      <c r="AK101" s="31"/>
      <c r="AL101" s="79">
        <f>+[1]FERIYE!AJ482-[1]FERIYE!AJ475-[1]FERIYE!AJ467-[1]FERIYE!AJ440-[1]FERIYE!AJ441-[1]FERIYE!AJ442</f>
        <v>0</v>
      </c>
    </row>
    <row r="102" spans="1:38" x14ac:dyDescent="0.25">
      <c r="A102" s="85" t="s">
        <v>17</v>
      </c>
      <c r="B102" s="32" t="s">
        <v>57</v>
      </c>
      <c r="C102" s="33" t="s">
        <v>54</v>
      </c>
      <c r="D102" s="34" t="s">
        <v>23</v>
      </c>
      <c r="E102" s="59">
        <f>+E77+E78+E87+E89+E90+E91+E98+E100+E101</f>
        <v>644017.44781268365</v>
      </c>
      <c r="F102" s="60"/>
      <c r="G102" s="60"/>
      <c r="H102" s="61">
        <f>+H77+H78+H87+H89+H90+H91+H98+H100+H101</f>
        <v>724491.768926105</v>
      </c>
      <c r="I102" s="61"/>
      <c r="J102" s="61"/>
      <c r="K102" s="61">
        <f>+K77+K78+K87+K89+K90+K91+K98+K100+K101</f>
        <v>664719.84961230087</v>
      </c>
      <c r="L102" s="61"/>
      <c r="M102" s="61"/>
      <c r="N102" s="61">
        <f>+N77+N78+N87+N89+N90+N91+N98+N100+N101</f>
        <v>691379.62256469531</v>
      </c>
      <c r="O102" s="61"/>
      <c r="P102" s="61"/>
      <c r="Q102" s="61">
        <f>+Q77+Q78+Q87+Q89+Q90+Q91+Q98+Q100+Q101</f>
        <v>602418.25260060129</v>
      </c>
      <c r="R102" s="61"/>
      <c r="S102" s="61"/>
      <c r="T102" s="61">
        <f>+T77+T78+T87+T89+T90+T91+T98+T100+T101</f>
        <v>593243.27400419291</v>
      </c>
      <c r="U102" s="61"/>
      <c r="V102" s="61"/>
      <c r="W102" s="61">
        <f>+W77+W78+W87+W89+W90+W91+W98+W100+W101</f>
        <v>746876.80456735392</v>
      </c>
      <c r="X102" s="61"/>
      <c r="Y102" s="61"/>
      <c r="Z102" s="61">
        <f>+Z77+Z78+Z87+Z89+Z90+Z91+Z98+Z100+Z101</f>
        <v>0</v>
      </c>
      <c r="AA102" s="61"/>
      <c r="AB102" s="61"/>
      <c r="AC102" s="61">
        <f>+AC77+AC78+AC87+AC89+AC90+AC91+AC98+AC100+AC101</f>
        <v>0</v>
      </c>
      <c r="AD102" s="61"/>
      <c r="AE102" s="61"/>
      <c r="AF102" s="61">
        <f>+AF77+AF78+AF87+AF89+AF90+AF91+AF98+AF100+AF101</f>
        <v>0</v>
      </c>
      <c r="AG102" s="61"/>
      <c r="AH102" s="61"/>
      <c r="AI102" s="61">
        <f>+AI77+AI78+AI87+AI89+AI90+AI91+AI98+AI100+AI101</f>
        <v>0</v>
      </c>
      <c r="AJ102" s="62"/>
      <c r="AK102" s="62"/>
      <c r="AL102" s="114">
        <f>+AL77+AL78+AL87+AL89+AL90+AL91+AL98+AL100+AL101</f>
        <v>0</v>
      </c>
    </row>
    <row r="103" spans="1:38" ht="15.75" thickBot="1" x14ac:dyDescent="0.3">
      <c r="A103" s="115" t="s">
        <v>17</v>
      </c>
      <c r="B103" s="116" t="s">
        <v>57</v>
      </c>
      <c r="C103" s="117" t="s">
        <v>55</v>
      </c>
      <c r="D103" s="118" t="s">
        <v>23</v>
      </c>
      <c r="E103" s="119">
        <f>+E102-[1]FERIYE!C484</f>
        <v>0</v>
      </c>
      <c r="F103" s="120"/>
      <c r="G103" s="120"/>
      <c r="H103" s="121">
        <f>+H102-[1]FERIYE!F484</f>
        <v>0</v>
      </c>
      <c r="I103" s="121"/>
      <c r="J103" s="121"/>
      <c r="K103" s="121">
        <f>+K102-[1]FERIYE!I484</f>
        <v>0</v>
      </c>
      <c r="L103" s="121"/>
      <c r="M103" s="121"/>
      <c r="N103" s="121">
        <f>+N102-[1]FERIYE!L484</f>
        <v>0</v>
      </c>
      <c r="O103" s="121"/>
      <c r="P103" s="121"/>
      <c r="Q103" s="121">
        <f>+Q102-[1]FERIYE!O484</f>
        <v>0</v>
      </c>
      <c r="R103" s="121"/>
      <c r="S103" s="121"/>
      <c r="T103" s="121">
        <f>+T102-[1]FERIYE!R484</f>
        <v>0</v>
      </c>
      <c r="U103" s="121"/>
      <c r="V103" s="121"/>
      <c r="W103" s="121">
        <f>+W102-[1]FERIYE!U484</f>
        <v>0</v>
      </c>
      <c r="X103" s="121"/>
      <c r="Y103" s="121"/>
      <c r="Z103" s="121">
        <f>+Z102-[1]FERIYE!X484</f>
        <v>0</v>
      </c>
      <c r="AA103" s="121"/>
      <c r="AB103" s="121"/>
      <c r="AC103" s="121">
        <f>+AC102-[1]FERIYE!AA484</f>
        <v>0</v>
      </c>
      <c r="AD103" s="121"/>
      <c r="AE103" s="121"/>
      <c r="AF103" s="121">
        <f>+AF102-[1]FERIYE!AD484</f>
        <v>0</v>
      </c>
      <c r="AG103" s="121"/>
      <c r="AH103" s="121"/>
      <c r="AI103" s="121">
        <f>+AI102-[1]FERIYE!AG484</f>
        <v>0</v>
      </c>
      <c r="AJ103" s="122"/>
      <c r="AK103" s="122"/>
      <c r="AL103" s="123">
        <f>+AL102-[1]FERIYE!AJ484</f>
        <v>0</v>
      </c>
    </row>
    <row r="104" spans="1:38" x14ac:dyDescent="0.25">
      <c r="A104" s="64" t="s">
        <v>17</v>
      </c>
      <c r="B104" s="65" t="s">
        <v>58</v>
      </c>
      <c r="C104" s="66" t="s">
        <v>19</v>
      </c>
      <c r="D104" s="67" t="s">
        <v>20</v>
      </c>
      <c r="E104" s="68">
        <f>+[1]FERIYE!C497</f>
        <v>766</v>
      </c>
      <c r="F104" s="69"/>
      <c r="G104" s="69"/>
      <c r="H104" s="70">
        <f>+[1]FERIYE!F497</f>
        <v>176</v>
      </c>
      <c r="I104" s="70"/>
      <c r="J104" s="70"/>
      <c r="K104" s="70">
        <f>+[1]FERIYE!I497</f>
        <v>0</v>
      </c>
      <c r="L104" s="70"/>
      <c r="M104" s="70"/>
      <c r="N104" s="70">
        <f>+[1]FERIYE!L497</f>
        <v>341</v>
      </c>
      <c r="O104" s="70"/>
      <c r="P104" s="70"/>
      <c r="Q104" s="70">
        <f>+[1]FERIYE!O497</f>
        <v>2132</v>
      </c>
      <c r="R104" s="70"/>
      <c r="S104" s="70"/>
      <c r="T104" s="70">
        <f>+[1]FERIYE!R497</f>
        <v>1661</v>
      </c>
      <c r="U104" s="70"/>
      <c r="V104" s="70"/>
      <c r="W104" s="70">
        <f>+[1]FERIYE!U497</f>
        <v>1418</v>
      </c>
      <c r="X104" s="70"/>
      <c r="Y104" s="70"/>
      <c r="Z104" s="70">
        <f>+[1]FERIYE!X497</f>
        <v>0</v>
      </c>
      <c r="AA104" s="70"/>
      <c r="AB104" s="70"/>
      <c r="AC104" s="70">
        <f>+[1]FERIYE!AA497</f>
        <v>0</v>
      </c>
      <c r="AD104" s="70"/>
      <c r="AE104" s="70"/>
      <c r="AF104" s="70">
        <f>+[1]FERIYE!AD497</f>
        <v>0</v>
      </c>
      <c r="AG104" s="70"/>
      <c r="AH104" s="70"/>
      <c r="AI104" s="70">
        <f>+[1]FERIYE!AG497</f>
        <v>0</v>
      </c>
      <c r="AJ104" s="71"/>
      <c r="AK104" s="71"/>
      <c r="AL104" s="72">
        <f>+[1]FERIYE!AJ497</f>
        <v>0</v>
      </c>
    </row>
    <row r="105" spans="1:38" x14ac:dyDescent="0.25">
      <c r="A105" s="73" t="s">
        <v>17</v>
      </c>
      <c r="B105" s="6" t="s">
        <v>58</v>
      </c>
      <c r="C105" s="7" t="s">
        <v>21</v>
      </c>
      <c r="D105" s="8" t="s">
        <v>20</v>
      </c>
      <c r="E105" s="9"/>
      <c r="F105" s="10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2"/>
      <c r="AK105" s="12"/>
      <c r="AL105" s="74"/>
    </row>
    <row r="106" spans="1:38" x14ac:dyDescent="0.25">
      <c r="A106" s="73" t="s">
        <v>17</v>
      </c>
      <c r="B106" s="6" t="s">
        <v>58</v>
      </c>
      <c r="C106" s="7" t="s">
        <v>22</v>
      </c>
      <c r="D106" s="8" t="s">
        <v>23</v>
      </c>
      <c r="E106" s="13">
        <f>+[1]FERIYE!C492</f>
        <v>2136629.6599999992</v>
      </c>
      <c r="F106" s="14"/>
      <c r="G106" s="14"/>
      <c r="H106" s="15">
        <f>+[1]FERIYE!F492</f>
        <v>3024882.29</v>
      </c>
      <c r="I106" s="14"/>
      <c r="J106" s="14"/>
      <c r="K106" s="13">
        <f>+[1]FERIYE!I492</f>
        <v>1445225.33</v>
      </c>
      <c r="L106" s="14"/>
      <c r="M106" s="14"/>
      <c r="N106" s="15">
        <f>+[1]FERIYE!L492</f>
        <v>1429887.5299999998</v>
      </c>
      <c r="O106" s="15"/>
      <c r="P106" s="15"/>
      <c r="Q106" s="15">
        <f>+[1]FERIYE!O492</f>
        <v>3931636.290000001</v>
      </c>
      <c r="R106" s="15"/>
      <c r="S106" s="15"/>
      <c r="T106" s="15">
        <f>+[1]FERIYE!R492</f>
        <v>4224448.4700000016</v>
      </c>
      <c r="U106" s="15"/>
      <c r="V106" s="15"/>
      <c r="W106" s="15">
        <f>+[1]FERIYE!U492</f>
        <v>303196.3</v>
      </c>
      <c r="X106" s="15"/>
      <c r="Y106" s="15"/>
      <c r="Z106" s="15">
        <f>+[1]FERIYE!X492</f>
        <v>0</v>
      </c>
      <c r="AA106" s="15"/>
      <c r="AB106" s="15"/>
      <c r="AC106" s="15">
        <f>+[1]FERIYE!AA492</f>
        <v>0</v>
      </c>
      <c r="AD106" s="15"/>
      <c r="AE106" s="15"/>
      <c r="AF106" s="15">
        <f>+[1]FERIYE!AD492</f>
        <v>0</v>
      </c>
      <c r="AG106" s="15"/>
      <c r="AH106" s="15"/>
      <c r="AI106" s="15">
        <f>+[1]FERIYE!AG492</f>
        <v>0</v>
      </c>
      <c r="AJ106" s="16"/>
      <c r="AK106" s="16"/>
      <c r="AL106" s="75">
        <f>+[1]FERIYE!AJ492</f>
        <v>0</v>
      </c>
    </row>
    <row r="107" spans="1:38" x14ac:dyDescent="0.25">
      <c r="A107" s="73" t="s">
        <v>17</v>
      </c>
      <c r="B107" s="6" t="s">
        <v>58</v>
      </c>
      <c r="C107" s="7" t="s">
        <v>24</v>
      </c>
      <c r="D107" s="8" t="s">
        <v>23</v>
      </c>
      <c r="E107" s="13">
        <f>+[1]FERIYE!C493</f>
        <v>1084299.92</v>
      </c>
      <c r="F107" s="17"/>
      <c r="G107" s="17"/>
      <c r="H107" s="18">
        <f>+[1]FERIYE!F493</f>
        <v>911892.30999999994</v>
      </c>
      <c r="I107" s="18"/>
      <c r="J107" s="18"/>
      <c r="K107" s="18">
        <f>+[1]FERIYE!I493</f>
        <v>801408.15</v>
      </c>
      <c r="L107" s="18"/>
      <c r="M107" s="18"/>
      <c r="N107" s="18">
        <f>+[1]FERIYE!L493</f>
        <v>887919.85999999987</v>
      </c>
      <c r="O107" s="18"/>
      <c r="P107" s="18"/>
      <c r="Q107" s="18">
        <f>+[1]FERIYE!O493</f>
        <v>1716550.72</v>
      </c>
      <c r="R107" s="18"/>
      <c r="S107" s="18"/>
      <c r="T107" s="18">
        <f>+[1]FERIYE!R493</f>
        <v>1269756.0999999996</v>
      </c>
      <c r="U107" s="18"/>
      <c r="V107" s="18"/>
      <c r="W107" s="18">
        <f>+[1]FERIYE!U493</f>
        <v>117395.65</v>
      </c>
      <c r="X107" s="18"/>
      <c r="Y107" s="18"/>
      <c r="Z107" s="18">
        <f>+[1]FERIYE!X493</f>
        <v>0</v>
      </c>
      <c r="AA107" s="18"/>
      <c r="AB107" s="18"/>
      <c r="AC107" s="18">
        <f>+[1]FERIYE!AA493</f>
        <v>0</v>
      </c>
      <c r="AD107" s="18"/>
      <c r="AE107" s="18"/>
      <c r="AF107" s="18">
        <f>+[1]FERIYE!AD493</f>
        <v>0</v>
      </c>
      <c r="AG107" s="18"/>
      <c r="AH107" s="18"/>
      <c r="AI107" s="18">
        <f>+[1]FERIYE!AG493</f>
        <v>0</v>
      </c>
      <c r="AJ107" s="19"/>
      <c r="AK107" s="19"/>
      <c r="AL107" s="76">
        <f>+[1]FERIYE!AJ493</f>
        <v>0</v>
      </c>
    </row>
    <row r="108" spans="1:38" x14ac:dyDescent="0.25">
      <c r="A108" s="73" t="s">
        <v>17</v>
      </c>
      <c r="B108" s="6" t="s">
        <v>58</v>
      </c>
      <c r="C108" s="7" t="s">
        <v>25</v>
      </c>
      <c r="D108" s="8" t="s">
        <v>23</v>
      </c>
      <c r="E108" s="20">
        <f>+[1]FERIYE!C495+[1]FERIYE!C494</f>
        <v>948523.12999999989</v>
      </c>
      <c r="F108" s="21"/>
      <c r="G108" s="21"/>
      <c r="H108" s="22">
        <f>+[1]FERIYE!F495+[1]FERIYE!F494</f>
        <v>161618.87000000023</v>
      </c>
      <c r="I108" s="22"/>
      <c r="J108" s="22"/>
      <c r="K108" s="22">
        <f>+[1]FERIYE!I495+[1]FERIYE!I494</f>
        <v>349352.96999999962</v>
      </c>
      <c r="L108" s="22"/>
      <c r="M108" s="22"/>
      <c r="N108" s="22">
        <f>+[1]FERIYE!L495+[1]FERIYE!L494</f>
        <v>531627.35999999987</v>
      </c>
      <c r="O108" s="22"/>
      <c r="P108" s="22"/>
      <c r="Q108" s="22">
        <f>+[1]FERIYE!O495+[1]FERIYE!O494</f>
        <v>502497.47999999928</v>
      </c>
      <c r="R108" s="22"/>
      <c r="S108" s="22"/>
      <c r="T108" s="22">
        <f>+[1]FERIYE!R495+[1]FERIYE!R494</f>
        <v>1215778.2800000003</v>
      </c>
      <c r="U108" s="22"/>
      <c r="V108" s="22"/>
      <c r="W108" s="22">
        <f>+[1]FERIYE!U495+[1]FERIYE!U494</f>
        <v>2108651.77</v>
      </c>
      <c r="X108" s="22"/>
      <c r="Y108" s="22"/>
      <c r="Z108" s="22">
        <f>+[1]FERIYE!X495+[1]FERIYE!X494</f>
        <v>0</v>
      </c>
      <c r="AA108" s="22"/>
      <c r="AB108" s="22"/>
      <c r="AC108" s="22">
        <f>+[1]FERIYE!AA495+[1]FERIYE!AA494</f>
        <v>0</v>
      </c>
      <c r="AD108" s="22"/>
      <c r="AE108" s="22"/>
      <c r="AF108" s="22">
        <f>+[1]FERIYE!AD495+[1]FERIYE!AD494</f>
        <v>0</v>
      </c>
      <c r="AG108" s="22"/>
      <c r="AH108" s="22"/>
      <c r="AI108" s="22">
        <f>+[1]FERIYE!AG495+[1]FERIYE!AG494</f>
        <v>0</v>
      </c>
      <c r="AJ108" s="23"/>
      <c r="AK108" s="23"/>
      <c r="AL108" s="77">
        <f>+[1]FERIYE!AJ495+[1]FERIYE!AJ494</f>
        <v>0</v>
      </c>
    </row>
    <row r="109" spans="1:38" x14ac:dyDescent="0.25">
      <c r="A109" s="73" t="s">
        <v>17</v>
      </c>
      <c r="B109" s="6" t="s">
        <v>58</v>
      </c>
      <c r="C109" s="7" t="s">
        <v>26</v>
      </c>
      <c r="D109" s="8" t="s">
        <v>23</v>
      </c>
      <c r="E109" s="24">
        <f>+[1]FERIYE!C517</f>
        <v>373169.03</v>
      </c>
      <c r="F109" s="25"/>
      <c r="G109" s="25"/>
      <c r="H109" s="26">
        <f>+[1]FERIYE!F517</f>
        <v>583396.6</v>
      </c>
      <c r="I109" s="26"/>
      <c r="J109" s="26"/>
      <c r="K109" s="26">
        <f>+[1]FERIYE!I517</f>
        <v>235000</v>
      </c>
      <c r="L109" s="26"/>
      <c r="M109" s="26"/>
      <c r="N109" s="26">
        <f>+[1]FERIYE!L517</f>
        <v>295262.34999999998</v>
      </c>
      <c r="O109" s="26"/>
      <c r="P109" s="26"/>
      <c r="Q109" s="26">
        <f>+[1]FERIYE!O517</f>
        <v>520005.04</v>
      </c>
      <c r="R109" s="26"/>
      <c r="S109" s="26"/>
      <c r="T109" s="26">
        <f>+[1]FERIYE!R517</f>
        <v>1060340.6399999999</v>
      </c>
      <c r="U109" s="26"/>
      <c r="V109" s="26"/>
      <c r="W109" s="26">
        <f>+[1]FERIYE!U517</f>
        <v>57322.15</v>
      </c>
      <c r="X109" s="26"/>
      <c r="Y109" s="26"/>
      <c r="Z109" s="26">
        <f>+[1]FERIYE!X517</f>
        <v>0</v>
      </c>
      <c r="AA109" s="26"/>
      <c r="AB109" s="26"/>
      <c r="AC109" s="26">
        <f>+[1]FERIYE!AA517</f>
        <v>0</v>
      </c>
      <c r="AD109" s="26"/>
      <c r="AE109" s="26"/>
      <c r="AF109" s="26">
        <f>+[1]FERIYE!AD517</f>
        <v>0</v>
      </c>
      <c r="AG109" s="26"/>
      <c r="AH109" s="26"/>
      <c r="AI109" s="26">
        <f>+[1]FERIYE!AG517</f>
        <v>0</v>
      </c>
      <c r="AJ109" s="27"/>
      <c r="AK109" s="27"/>
      <c r="AL109" s="78">
        <f>+[1]FERIYE!AJ517</f>
        <v>0</v>
      </c>
    </row>
    <row r="110" spans="1:38" x14ac:dyDescent="0.25">
      <c r="A110" s="73" t="s">
        <v>17</v>
      </c>
      <c r="B110" s="6" t="s">
        <v>58</v>
      </c>
      <c r="C110" s="7" t="s">
        <v>27</v>
      </c>
      <c r="D110" s="8" t="s">
        <v>23</v>
      </c>
      <c r="E110" s="28">
        <f>+[1]FERIYE!C518</f>
        <v>201821.71999999997</v>
      </c>
      <c r="F110" s="29"/>
      <c r="G110" s="29"/>
      <c r="H110" s="30">
        <f>+[1]FERIYE!F518</f>
        <v>130361</v>
      </c>
      <c r="I110" s="30"/>
      <c r="J110" s="30"/>
      <c r="K110" s="30">
        <f>+[1]FERIYE!I518</f>
        <v>136500</v>
      </c>
      <c r="L110" s="30"/>
      <c r="M110" s="30"/>
      <c r="N110" s="30">
        <f>+[1]FERIYE!L518</f>
        <v>136052.59</v>
      </c>
      <c r="O110" s="30"/>
      <c r="P110" s="30"/>
      <c r="Q110" s="30">
        <f>+[1]FERIYE!O518</f>
        <v>114320.73</v>
      </c>
      <c r="R110" s="30"/>
      <c r="S110" s="30"/>
      <c r="T110" s="30">
        <f>+[1]FERIYE!R518</f>
        <v>103500.01999999999</v>
      </c>
      <c r="U110" s="30"/>
      <c r="V110" s="30"/>
      <c r="W110" s="30">
        <f>+[1]FERIYE!U518</f>
        <v>11304.59</v>
      </c>
      <c r="X110" s="30"/>
      <c r="Y110" s="30"/>
      <c r="Z110" s="30">
        <f>+[1]FERIYE!X518</f>
        <v>0</v>
      </c>
      <c r="AA110" s="30"/>
      <c r="AB110" s="30"/>
      <c r="AC110" s="30">
        <f>+[1]FERIYE!AA518</f>
        <v>0</v>
      </c>
      <c r="AD110" s="30"/>
      <c r="AE110" s="30"/>
      <c r="AF110" s="30">
        <f>+[1]FERIYE!AD518</f>
        <v>0</v>
      </c>
      <c r="AG110" s="30"/>
      <c r="AH110" s="30"/>
      <c r="AI110" s="30">
        <f>+[1]FERIYE!AG518</f>
        <v>0</v>
      </c>
      <c r="AJ110" s="31"/>
      <c r="AK110" s="31"/>
      <c r="AL110" s="79">
        <f>+[1]FERIYE!AJ518</f>
        <v>0</v>
      </c>
    </row>
    <row r="111" spans="1:38" x14ac:dyDescent="0.25">
      <c r="A111" s="73" t="s">
        <v>17</v>
      </c>
      <c r="B111" s="6" t="s">
        <v>58</v>
      </c>
      <c r="C111" s="7" t="s">
        <v>28</v>
      </c>
      <c r="D111" s="8" t="s">
        <v>29</v>
      </c>
      <c r="E111" s="124">
        <f>+[1]FERIYE!C501</f>
        <v>10.967296636978137</v>
      </c>
      <c r="F111" s="125"/>
      <c r="G111" s="125"/>
      <c r="H111" s="126">
        <f>+[1]FERIYE!F501</f>
        <v>13.168001262664681</v>
      </c>
      <c r="I111" s="126"/>
      <c r="J111" s="126"/>
      <c r="K111" s="126">
        <f>+[1]FERIYE!I501</f>
        <v>6.9162841597293205</v>
      </c>
      <c r="L111" s="126"/>
      <c r="M111" s="126"/>
      <c r="N111" s="126">
        <f>+[1]FERIYE!L501</f>
        <v>5.6870900706997167</v>
      </c>
      <c r="O111" s="126"/>
      <c r="P111" s="126"/>
      <c r="Q111" s="126">
        <f>+[1]FERIYE!O501</f>
        <v>8.7373163528218374</v>
      </c>
      <c r="R111" s="126"/>
      <c r="S111" s="126"/>
      <c r="T111" s="126">
        <f>+[1]FERIYE!R501</f>
        <v>5.9257925487839787</v>
      </c>
      <c r="U111" s="126"/>
      <c r="V111" s="126"/>
      <c r="W111" s="126">
        <f>+[1]FERIYE!U501</f>
        <v>3.0805829963174931</v>
      </c>
      <c r="X111" s="126"/>
      <c r="Y111" s="126"/>
      <c r="Z111" s="126">
        <f>+[1]FERIYE!X501</f>
        <v>0</v>
      </c>
      <c r="AA111" s="126"/>
      <c r="AB111" s="126"/>
      <c r="AC111" s="126">
        <f>+[1]FERIYE!AA501</f>
        <v>0</v>
      </c>
      <c r="AD111" s="126"/>
      <c r="AE111" s="126"/>
      <c r="AF111" s="126">
        <f>+[1]FERIYE!AD501</f>
        <v>0</v>
      </c>
      <c r="AG111" s="126"/>
      <c r="AH111" s="126"/>
      <c r="AI111" s="126">
        <f>+[1]FERIYE!AG501</f>
        <v>0</v>
      </c>
      <c r="AJ111" s="127"/>
      <c r="AK111" s="127"/>
      <c r="AL111" s="128">
        <f>+[1]FERIYE!AJ501</f>
        <v>0</v>
      </c>
    </row>
    <row r="112" spans="1:38" x14ac:dyDescent="0.25">
      <c r="A112" s="85" t="s">
        <v>17</v>
      </c>
      <c r="B112" s="32" t="s">
        <v>58</v>
      </c>
      <c r="C112" s="33" t="s">
        <v>30</v>
      </c>
      <c r="D112" s="34" t="s">
        <v>29</v>
      </c>
      <c r="E112" s="129">
        <f>+[1]FERIYE!C502</f>
        <v>2.672415587729883</v>
      </c>
      <c r="F112" s="130"/>
      <c r="G112" s="130"/>
      <c r="H112" s="131">
        <f>+[1]FERIYE!F502</f>
        <v>3.3599369082130606</v>
      </c>
      <c r="I112" s="131"/>
      <c r="J112" s="131"/>
      <c r="K112" s="131">
        <f>+[1]FERIYE!I502</f>
        <v>1.868380081064319</v>
      </c>
      <c r="L112" s="131"/>
      <c r="M112" s="131"/>
      <c r="N112" s="131">
        <f>+[1]FERIYE!L502</f>
        <v>1.5634200307755415</v>
      </c>
      <c r="O112" s="131"/>
      <c r="P112" s="131"/>
      <c r="Q112" s="131">
        <f>+[1]FERIYE!O502</f>
        <v>2.9819204252506606</v>
      </c>
      <c r="R112" s="131"/>
      <c r="S112" s="131"/>
      <c r="T112" s="131">
        <f>+[1]FERIYE!R502</f>
        <v>1.5414782142633676</v>
      </c>
      <c r="U112" s="131"/>
      <c r="V112" s="131"/>
      <c r="W112" s="131">
        <f>+[1]FERIYE!U502</f>
        <v>0.73703400793429674</v>
      </c>
      <c r="X112" s="131"/>
      <c r="Y112" s="131"/>
      <c r="Z112" s="131">
        <f>+[1]FERIYE!X502</f>
        <v>0</v>
      </c>
      <c r="AA112" s="131"/>
      <c r="AB112" s="131"/>
      <c r="AC112" s="131">
        <f>+[1]FERIYE!AA502</f>
        <v>0</v>
      </c>
      <c r="AD112" s="131"/>
      <c r="AE112" s="131"/>
      <c r="AF112" s="131">
        <f>+[1]FERIYE!AD502</f>
        <v>0</v>
      </c>
      <c r="AG112" s="131"/>
      <c r="AH112" s="131"/>
      <c r="AI112" s="131">
        <f>+[1]FERIYE!AG502</f>
        <v>0</v>
      </c>
      <c r="AJ112" s="132"/>
      <c r="AK112" s="132"/>
      <c r="AL112" s="133">
        <f>+[1]FERIYE!AJ502</f>
        <v>0</v>
      </c>
    </row>
    <row r="113" spans="1:38" x14ac:dyDescent="0.25">
      <c r="A113" s="85" t="s">
        <v>17</v>
      </c>
      <c r="B113" s="32" t="s">
        <v>58</v>
      </c>
      <c r="C113" s="33" t="s">
        <v>31</v>
      </c>
      <c r="D113" s="34" t="s">
        <v>29</v>
      </c>
      <c r="E113" s="129">
        <f>+[1]FERIYE!C503</f>
        <v>1.4594358459658194</v>
      </c>
      <c r="F113" s="130"/>
      <c r="G113" s="130"/>
      <c r="H113" s="131">
        <f>+[1]FERIYE!F503</f>
        <v>1.7816483873224045</v>
      </c>
      <c r="I113" s="131"/>
      <c r="J113" s="131"/>
      <c r="K113" s="131">
        <f>+[1]FERIYE!I503</f>
        <v>1.7110428110799552</v>
      </c>
      <c r="L113" s="131"/>
      <c r="M113" s="131"/>
      <c r="N113" s="131">
        <f>+[1]FERIYE!L503</f>
        <v>1.65278464066666</v>
      </c>
      <c r="O113" s="131"/>
      <c r="P113" s="131"/>
      <c r="Q113" s="131">
        <f>+[1]FERIYE!O503</f>
        <v>3.4161806813551254</v>
      </c>
      <c r="R113" s="131"/>
      <c r="S113" s="131"/>
      <c r="T113" s="131">
        <f>+[1]FERIYE!R503</f>
        <v>3.2769359716777759</v>
      </c>
      <c r="U113" s="131"/>
      <c r="V113" s="131"/>
      <c r="W113" s="131">
        <f>+[1]FERIYE!U503</f>
        <v>1.3339982044059668</v>
      </c>
      <c r="X113" s="131"/>
      <c r="Y113" s="131"/>
      <c r="Z113" s="131">
        <f>+[1]FERIYE!X503</f>
        <v>0</v>
      </c>
      <c r="AA113" s="131"/>
      <c r="AB113" s="131"/>
      <c r="AC113" s="131">
        <f>+[1]FERIYE!AA503</f>
        <v>0</v>
      </c>
      <c r="AD113" s="131"/>
      <c r="AE113" s="131"/>
      <c r="AF113" s="131">
        <f>+[1]FERIYE!AD503</f>
        <v>0</v>
      </c>
      <c r="AG113" s="131"/>
      <c r="AH113" s="131"/>
      <c r="AI113" s="131">
        <f>+[1]FERIYE!AG503</f>
        <v>0</v>
      </c>
      <c r="AJ113" s="132"/>
      <c r="AK113" s="132"/>
      <c r="AL113" s="133">
        <f>+[1]FERIYE!AJ503</f>
        <v>0</v>
      </c>
    </row>
    <row r="114" spans="1:38" x14ac:dyDescent="0.25">
      <c r="A114" s="85" t="s">
        <v>17</v>
      </c>
      <c r="B114" s="32" t="s">
        <v>58</v>
      </c>
      <c r="C114" s="33" t="s">
        <v>32</v>
      </c>
      <c r="D114" s="34" t="s">
        <v>29</v>
      </c>
      <c r="E114" s="129">
        <f>+[1]FERIYE!C504</f>
        <v>0.13807480536604394</v>
      </c>
      <c r="F114" s="130"/>
      <c r="G114" s="130"/>
      <c r="H114" s="131">
        <f>+[1]FERIYE!F504</f>
        <v>0.43731369507004481</v>
      </c>
      <c r="I114" s="131"/>
      <c r="J114" s="131"/>
      <c r="K114" s="131">
        <f>+[1]FERIYE!I504</f>
        <v>0.5321059061276745</v>
      </c>
      <c r="L114" s="131"/>
      <c r="M114" s="131"/>
      <c r="N114" s="131">
        <f>+[1]FERIYE!L504</f>
        <v>0.59607116082013867</v>
      </c>
      <c r="O114" s="131"/>
      <c r="P114" s="131"/>
      <c r="Q114" s="131">
        <f>+[1]FERIYE!O504</f>
        <v>2.3160546992238138</v>
      </c>
      <c r="R114" s="131"/>
      <c r="S114" s="131"/>
      <c r="T114" s="131">
        <f>+[1]FERIYE!R504</f>
        <v>1.4623797597745936</v>
      </c>
      <c r="U114" s="131"/>
      <c r="V114" s="131"/>
      <c r="W114" s="131">
        <f>+[1]FERIYE!U504</f>
        <v>0.67652766080588311</v>
      </c>
      <c r="X114" s="131"/>
      <c r="Y114" s="131"/>
      <c r="Z114" s="131">
        <f>+[1]FERIYE!X504</f>
        <v>0</v>
      </c>
      <c r="AA114" s="131"/>
      <c r="AB114" s="131"/>
      <c r="AC114" s="131">
        <f>+[1]FERIYE!AA504</f>
        <v>0</v>
      </c>
      <c r="AD114" s="131"/>
      <c r="AE114" s="131"/>
      <c r="AF114" s="131">
        <f>+[1]FERIYE!AD504</f>
        <v>0</v>
      </c>
      <c r="AG114" s="131"/>
      <c r="AH114" s="131"/>
      <c r="AI114" s="131">
        <f>+[1]FERIYE!AG504</f>
        <v>0</v>
      </c>
      <c r="AJ114" s="132"/>
      <c r="AK114" s="132"/>
      <c r="AL114" s="133">
        <f>+[1]FERIYE!AJ504</f>
        <v>0</v>
      </c>
    </row>
    <row r="115" spans="1:38" x14ac:dyDescent="0.25">
      <c r="A115" s="85" t="s">
        <v>17</v>
      </c>
      <c r="B115" s="32" t="s">
        <v>58</v>
      </c>
      <c r="C115" s="33" t="s">
        <v>33</v>
      </c>
      <c r="D115" s="34" t="s">
        <v>29</v>
      </c>
      <c r="E115" s="129">
        <f>SUM(E111:E114)</f>
        <v>15.237222876039883</v>
      </c>
      <c r="F115" s="130"/>
      <c r="G115" s="130"/>
      <c r="H115" s="129">
        <f>SUM(H111:H114)</f>
        <v>18.746900253270194</v>
      </c>
      <c r="I115" s="131"/>
      <c r="J115" s="131"/>
      <c r="K115" s="129">
        <f>SUM(K111:K114)</f>
        <v>11.027812958001268</v>
      </c>
      <c r="L115" s="131"/>
      <c r="M115" s="131"/>
      <c r="N115" s="129">
        <f>SUM(N111:N114)</f>
        <v>9.4993659029620563</v>
      </c>
      <c r="O115" s="131"/>
      <c r="P115" s="131"/>
      <c r="Q115" s="129">
        <f>SUM(Q111:Q114)</f>
        <v>17.451472158651438</v>
      </c>
      <c r="R115" s="131"/>
      <c r="S115" s="131"/>
      <c r="T115" s="129">
        <f>SUM(T111:T114)</f>
        <v>12.206586494499716</v>
      </c>
      <c r="U115" s="131"/>
      <c r="V115" s="131"/>
      <c r="W115" s="129">
        <f>SUM(W111:W114)</f>
        <v>5.8281428694636395</v>
      </c>
      <c r="X115" s="131"/>
      <c r="Y115" s="131"/>
      <c r="Z115" s="129">
        <f>SUM(Z111:Z114)</f>
        <v>0</v>
      </c>
      <c r="AA115" s="131"/>
      <c r="AB115" s="131"/>
      <c r="AC115" s="129">
        <f>SUM(AC111:AC114)</f>
        <v>0</v>
      </c>
      <c r="AD115" s="131"/>
      <c r="AE115" s="131"/>
      <c r="AF115" s="129">
        <f>SUM(AF111:AF114)</f>
        <v>0</v>
      </c>
      <c r="AG115" s="131"/>
      <c r="AH115" s="131"/>
      <c r="AI115" s="129">
        <f>SUM(AI111:AI114)</f>
        <v>0</v>
      </c>
      <c r="AJ115" s="132"/>
      <c r="AK115" s="132"/>
      <c r="AL115" s="134">
        <f>SUM(AL111:AL114)</f>
        <v>0</v>
      </c>
    </row>
    <row r="116" spans="1:38" x14ac:dyDescent="0.25">
      <c r="A116" s="85" t="s">
        <v>17</v>
      </c>
      <c r="B116" s="32" t="s">
        <v>58</v>
      </c>
      <c r="C116" s="33" t="s">
        <v>34</v>
      </c>
      <c r="D116" s="34" t="s">
        <v>23</v>
      </c>
      <c r="E116" s="35">
        <f>+[1]FERIYE!C508+[1]FERIYE!C509+[1]FERIYE!C510+[1]FERIYE!C511</f>
        <v>798742.45204617514</v>
      </c>
      <c r="F116" s="36"/>
      <c r="G116" s="36"/>
      <c r="H116" s="35">
        <f>+[1]FERIYE!F508+[1]FERIYE!F509+[1]FERIYE!F510+[1]FERIYE!F511</f>
        <v>1062791.2337442024</v>
      </c>
      <c r="I116" s="18"/>
      <c r="J116" s="18"/>
      <c r="K116" s="35">
        <f>+[1]FERIYE!I508+[1]FERIYE!I509+[1]FERIYE!I510+[1]FERIYE!I511</f>
        <v>621709.75584784965</v>
      </c>
      <c r="L116" s="18"/>
      <c r="M116" s="18"/>
      <c r="N116" s="35">
        <f>+[1]FERIYE!L508+[1]FERIYE!L509+[1]FERIYE!L510+[1]FERIYE!L511</f>
        <v>525646.57032336085</v>
      </c>
      <c r="O116" s="18"/>
      <c r="P116" s="18"/>
      <c r="Q116" s="35">
        <f>+[1]FERIYE!O508+[1]FERIYE!O509+[1]FERIYE!O510+[1]FERIYE!O511</f>
        <v>1015450.7532586384</v>
      </c>
      <c r="R116" s="18"/>
      <c r="S116" s="18"/>
      <c r="T116" s="35">
        <f>+[1]FERIYE!R508+[1]FERIYE!R509+[1]FERIYE!R510+[1]FERIYE!R511</f>
        <v>736524.67425479554</v>
      </c>
      <c r="U116" s="18"/>
      <c r="V116" s="18"/>
      <c r="W116" s="35">
        <f>+[1]FERIYE!U508+[1]FERIYE!U509+[1]FERIYE!U510+[1]FERIYE!U511</f>
        <v>342324.09301084699</v>
      </c>
      <c r="X116" s="18"/>
      <c r="Y116" s="18"/>
      <c r="Z116" s="35">
        <f>+[1]FERIYE!X508+[1]FERIYE!X509+[1]FERIYE!X510+[1]FERIYE!X511</f>
        <v>0</v>
      </c>
      <c r="AA116" s="18"/>
      <c r="AB116" s="18"/>
      <c r="AC116" s="35">
        <f>+[1]FERIYE!AA508+[1]FERIYE!AA509+[1]FERIYE!AA510+[1]FERIYE!AA511</f>
        <v>0</v>
      </c>
      <c r="AD116" s="18"/>
      <c r="AE116" s="18"/>
      <c r="AF116" s="35">
        <f>+[1]FERIYE!AD508+[1]FERIYE!AD509+[1]FERIYE!AD510+[1]FERIYE!AD511</f>
        <v>0</v>
      </c>
      <c r="AG116" s="18"/>
      <c r="AH116" s="18"/>
      <c r="AI116" s="35">
        <f>+[1]FERIYE!AG508+[1]FERIYE!AG509+[1]FERIYE!AG510+[1]FERIYE!AG511</f>
        <v>0</v>
      </c>
      <c r="AJ116" s="19"/>
      <c r="AK116" s="19"/>
      <c r="AL116" s="92">
        <f>+[1]FERIYE!AJ508+[1]FERIYE!AJ509+[1]FERIYE!AJ510+[1]FERIYE!AJ511</f>
        <v>0</v>
      </c>
    </row>
    <row r="117" spans="1:38" x14ac:dyDescent="0.25">
      <c r="A117" s="85" t="s">
        <v>17</v>
      </c>
      <c r="B117" s="32" t="s">
        <v>58</v>
      </c>
      <c r="C117" s="33" t="s">
        <v>35</v>
      </c>
      <c r="D117" s="34" t="s">
        <v>23</v>
      </c>
      <c r="E117" s="35">
        <f>+[1]FERIYE!C512</f>
        <v>261223.4199135766</v>
      </c>
      <c r="F117" s="36"/>
      <c r="G117" s="36"/>
      <c r="H117" s="35">
        <f>+[1]FERIYE!F512</f>
        <v>280240.39327127696</v>
      </c>
      <c r="I117" s="18"/>
      <c r="J117" s="18"/>
      <c r="K117" s="35">
        <f>+[1]FERIYE!I512</f>
        <v>172591.54006064089</v>
      </c>
      <c r="L117" s="18"/>
      <c r="M117" s="18"/>
      <c r="N117" s="35">
        <f>+[1]FERIYE!L512</f>
        <v>168873.66773379498</v>
      </c>
      <c r="O117" s="18"/>
      <c r="P117" s="18"/>
      <c r="Q117" s="35">
        <f>+[1]FERIYE!O512</f>
        <v>260299.28727365908</v>
      </c>
      <c r="R117" s="18"/>
      <c r="S117" s="18"/>
      <c r="T117" s="35">
        <f>+[1]FERIYE!R512</f>
        <v>165855.53396837576</v>
      </c>
      <c r="U117" s="18"/>
      <c r="V117" s="18"/>
      <c r="W117" s="35">
        <f>+[1]FERIYE!U512</f>
        <v>104236.0412643243</v>
      </c>
      <c r="X117" s="18"/>
      <c r="Y117" s="18"/>
      <c r="Z117" s="35">
        <f>+[1]FERIYE!X512</f>
        <v>0</v>
      </c>
      <c r="AA117" s="18"/>
      <c r="AB117" s="18"/>
      <c r="AC117" s="35">
        <f>+[1]FERIYE!AA512</f>
        <v>0</v>
      </c>
      <c r="AD117" s="18"/>
      <c r="AE117" s="18"/>
      <c r="AF117" s="35">
        <f>+[1]FERIYE!AD512</f>
        <v>0</v>
      </c>
      <c r="AG117" s="18"/>
      <c r="AH117" s="18"/>
      <c r="AI117" s="35">
        <f>+[1]FERIYE!AG512</f>
        <v>0</v>
      </c>
      <c r="AJ117" s="19"/>
      <c r="AK117" s="19"/>
      <c r="AL117" s="92">
        <f>+[1]FERIYE!AJ512</f>
        <v>0</v>
      </c>
    </row>
    <row r="118" spans="1:38" x14ac:dyDescent="0.25">
      <c r="A118" s="85" t="s">
        <v>17</v>
      </c>
      <c r="B118" s="32" t="s">
        <v>58</v>
      </c>
      <c r="C118" s="33" t="s">
        <v>36</v>
      </c>
      <c r="D118" s="34" t="s">
        <v>23</v>
      </c>
      <c r="E118" s="35">
        <f>+[1]FERIYE!C513</f>
        <v>149628.95407336028</v>
      </c>
      <c r="F118" s="36"/>
      <c r="G118" s="36"/>
      <c r="H118" s="35">
        <f>+[1]FERIYE!F513</f>
        <v>187472.13391471599</v>
      </c>
      <c r="I118" s="18"/>
      <c r="J118" s="18"/>
      <c r="K118" s="35">
        <f>+[1]FERIYE!I513</f>
        <v>191265.0309096204</v>
      </c>
      <c r="L118" s="18"/>
      <c r="M118" s="18"/>
      <c r="N118" s="35">
        <f>+[1]FERIYE!L513</f>
        <v>177026.14221317839</v>
      </c>
      <c r="O118" s="18"/>
      <c r="P118" s="18"/>
      <c r="Q118" s="35">
        <f>+[1]FERIYE!O513</f>
        <v>396126.84395186434</v>
      </c>
      <c r="R118" s="18"/>
      <c r="S118" s="18"/>
      <c r="T118" s="35">
        <f>+[1]FERIYE!R513</f>
        <v>363435.54460291873</v>
      </c>
      <c r="U118" s="18"/>
      <c r="V118" s="18"/>
      <c r="W118" s="35">
        <f>+[1]FERIYE!U513</f>
        <v>152670.68941939541</v>
      </c>
      <c r="X118" s="18"/>
      <c r="Y118" s="18"/>
      <c r="Z118" s="35">
        <f>+[1]FERIYE!X513</f>
        <v>0</v>
      </c>
      <c r="AA118" s="18"/>
      <c r="AB118" s="18"/>
      <c r="AC118" s="35">
        <f>+[1]FERIYE!AA513</f>
        <v>0</v>
      </c>
      <c r="AD118" s="18"/>
      <c r="AE118" s="18"/>
      <c r="AF118" s="35">
        <f>+[1]FERIYE!AD513</f>
        <v>0</v>
      </c>
      <c r="AG118" s="18"/>
      <c r="AH118" s="18"/>
      <c r="AI118" s="35">
        <f>+[1]FERIYE!AG513</f>
        <v>0</v>
      </c>
      <c r="AJ118" s="19"/>
      <c r="AK118" s="19"/>
      <c r="AL118" s="92">
        <f>+[1]FERIYE!AJ513</f>
        <v>0</v>
      </c>
    </row>
    <row r="119" spans="1:38" x14ac:dyDescent="0.25">
      <c r="A119" s="85" t="s">
        <v>17</v>
      </c>
      <c r="B119" s="32" t="s">
        <v>58</v>
      </c>
      <c r="C119" s="33" t="s">
        <v>37</v>
      </c>
      <c r="D119" s="34" t="s">
        <v>23</v>
      </c>
      <c r="E119" s="37">
        <f>SUM(E116:E118)</f>
        <v>1209594.8260331119</v>
      </c>
      <c r="F119" s="38"/>
      <c r="G119" s="38"/>
      <c r="H119" s="37">
        <f>SUM(H116:H118)</f>
        <v>1530503.7609301955</v>
      </c>
      <c r="I119" s="39"/>
      <c r="J119" s="39"/>
      <c r="K119" s="37">
        <f>SUM(K116:K118)</f>
        <v>985566.32681811089</v>
      </c>
      <c r="L119" s="39"/>
      <c r="M119" s="39"/>
      <c r="N119" s="37">
        <f>SUM(N116:N118)</f>
        <v>871546.38027033419</v>
      </c>
      <c r="O119" s="39"/>
      <c r="P119" s="39"/>
      <c r="Q119" s="37">
        <f>SUM(Q116:Q118)</f>
        <v>1671876.8844841619</v>
      </c>
      <c r="R119" s="39"/>
      <c r="S119" s="39"/>
      <c r="T119" s="37">
        <f>SUM(T116:T118)</f>
        <v>1265815.75282609</v>
      </c>
      <c r="U119" s="39"/>
      <c r="V119" s="39"/>
      <c r="W119" s="37">
        <f>SUM(W116:W118)</f>
        <v>599230.82369456673</v>
      </c>
      <c r="X119" s="39"/>
      <c r="Y119" s="39"/>
      <c r="Z119" s="37">
        <f>SUM(Z116:Z118)</f>
        <v>0</v>
      </c>
      <c r="AA119" s="39"/>
      <c r="AB119" s="39"/>
      <c r="AC119" s="37">
        <f>SUM(AC116:AC118)</f>
        <v>0</v>
      </c>
      <c r="AD119" s="39"/>
      <c r="AE119" s="39"/>
      <c r="AF119" s="37">
        <f>SUM(AF116:AF118)</f>
        <v>0</v>
      </c>
      <c r="AG119" s="39"/>
      <c r="AH119" s="39"/>
      <c r="AI119" s="37">
        <f>SUM(AI116:AI118)</f>
        <v>0</v>
      </c>
      <c r="AJ119" s="40"/>
      <c r="AK119" s="40"/>
      <c r="AL119" s="93">
        <f>SUM(AL116:AL118)</f>
        <v>0</v>
      </c>
    </row>
    <row r="120" spans="1:38" x14ac:dyDescent="0.25">
      <c r="A120" s="73" t="s">
        <v>17</v>
      </c>
      <c r="B120" s="6" t="s">
        <v>58</v>
      </c>
      <c r="C120" s="7" t="s">
        <v>38</v>
      </c>
      <c r="D120" s="8" t="s">
        <v>23</v>
      </c>
      <c r="E120" s="28">
        <f>IFERROR(E119/E115,0)</f>
        <v>79384.205105719535</v>
      </c>
      <c r="F120" s="29"/>
      <c r="G120" s="29"/>
      <c r="H120" s="28">
        <f>IFERROR(H119/H115,0)</f>
        <v>81640.36402035135</v>
      </c>
      <c r="I120" s="30"/>
      <c r="J120" s="30"/>
      <c r="K120" s="28">
        <f>IFERROR(K119/K115,0)</f>
        <v>89370.968710802248</v>
      </c>
      <c r="L120" s="30"/>
      <c r="M120" s="30"/>
      <c r="N120" s="28">
        <f>IFERROR(N119/N115,0)</f>
        <v>91747.848137797482</v>
      </c>
      <c r="O120" s="30"/>
      <c r="P120" s="30"/>
      <c r="Q120" s="28">
        <f>IFERROR(Q119/Q115,0)</f>
        <v>95801.481346967121</v>
      </c>
      <c r="R120" s="30"/>
      <c r="S120" s="30"/>
      <c r="T120" s="28">
        <f>IFERROR(T119/T115,0)</f>
        <v>103699.40469405318</v>
      </c>
      <c r="U120" s="30"/>
      <c r="V120" s="30"/>
      <c r="W120" s="28">
        <f>IFERROR(W119/W115,0)</f>
        <v>102816.76978685897</v>
      </c>
      <c r="X120" s="30"/>
      <c r="Y120" s="30"/>
      <c r="Z120" s="28">
        <f>IFERROR(Z119/Z115,0)</f>
        <v>0</v>
      </c>
      <c r="AA120" s="30"/>
      <c r="AB120" s="30"/>
      <c r="AC120" s="28">
        <f>IFERROR(AC119/AC115,0)</f>
        <v>0</v>
      </c>
      <c r="AD120" s="30"/>
      <c r="AE120" s="30"/>
      <c r="AF120" s="28">
        <f>IFERROR(AF119/AF115,0)</f>
        <v>0</v>
      </c>
      <c r="AG120" s="30"/>
      <c r="AH120" s="30"/>
      <c r="AI120" s="28">
        <f>IFERROR(AI119/AI115,0)</f>
        <v>0</v>
      </c>
      <c r="AJ120" s="31"/>
      <c r="AK120" s="31"/>
      <c r="AL120" s="94">
        <f>IFERROR(AL119/AL115,0)</f>
        <v>0</v>
      </c>
    </row>
    <row r="121" spans="1:38" x14ac:dyDescent="0.25">
      <c r="A121" s="73" t="s">
        <v>17</v>
      </c>
      <c r="B121" s="6" t="s">
        <v>58</v>
      </c>
      <c r="C121" s="7" t="s">
        <v>39</v>
      </c>
      <c r="D121" s="8" t="s">
        <v>23</v>
      </c>
      <c r="E121" s="41">
        <f>+[1]FERIYE!C537</f>
        <v>66205.598290938578</v>
      </c>
      <c r="F121" s="42"/>
      <c r="G121" s="42"/>
      <c r="H121" s="43">
        <f>+[1]FERIYE!F537</f>
        <v>50852.605513618277</v>
      </c>
      <c r="I121" s="43"/>
      <c r="J121" s="43"/>
      <c r="K121" s="43">
        <f>+[1]FERIYE!I537</f>
        <v>31074.864729663834</v>
      </c>
      <c r="L121" s="43"/>
      <c r="M121" s="43"/>
      <c r="N121" s="43">
        <f>+[1]FERIYE!L537</f>
        <v>25958.418143135979</v>
      </c>
      <c r="O121" s="43"/>
      <c r="P121" s="43"/>
      <c r="Q121" s="43">
        <f>+[1]FERIYE!O537</f>
        <v>32531.33325598143</v>
      </c>
      <c r="R121" s="43"/>
      <c r="S121" s="43"/>
      <c r="T121" s="43">
        <f>+[1]FERIYE!R537</f>
        <v>32559.939025332587</v>
      </c>
      <c r="U121" s="43"/>
      <c r="V121" s="43"/>
      <c r="W121" s="43">
        <f>+[1]FERIYE!U537</f>
        <v>22342.340290952194</v>
      </c>
      <c r="X121" s="43"/>
      <c r="Y121" s="43"/>
      <c r="Z121" s="43">
        <f>+[1]FERIYE!X537</f>
        <v>0</v>
      </c>
      <c r="AA121" s="43"/>
      <c r="AB121" s="43"/>
      <c r="AC121" s="43">
        <f>+[1]FERIYE!AA537</f>
        <v>0</v>
      </c>
      <c r="AD121" s="43"/>
      <c r="AE121" s="43"/>
      <c r="AF121" s="43">
        <f>+[1]FERIYE!AD537</f>
        <v>0</v>
      </c>
      <c r="AG121" s="43"/>
      <c r="AH121" s="43"/>
      <c r="AI121" s="43">
        <f>+[1]FERIYE!AG537</f>
        <v>0</v>
      </c>
      <c r="AJ121" s="44"/>
      <c r="AK121" s="44"/>
      <c r="AL121" s="95">
        <f>+[1]FERIYE!AJ537</f>
        <v>0</v>
      </c>
    </row>
    <row r="122" spans="1:38" x14ac:dyDescent="0.25">
      <c r="A122" s="73" t="s">
        <v>17</v>
      </c>
      <c r="B122" s="6" t="s">
        <v>58</v>
      </c>
      <c r="C122" s="7" t="s">
        <v>40</v>
      </c>
      <c r="D122" s="34" t="s">
        <v>23</v>
      </c>
      <c r="E122" s="45">
        <f>+[1]FERIYE!C538</f>
        <v>30595.861015606966</v>
      </c>
      <c r="F122" s="46"/>
      <c r="G122" s="46"/>
      <c r="H122" s="47">
        <f>+[1]FERIYE!F538</f>
        <v>44870.791239331891</v>
      </c>
      <c r="I122" s="47"/>
      <c r="J122" s="47"/>
      <c r="K122" s="47">
        <f>+[1]FERIYE!I538</f>
        <v>26547.738273687635</v>
      </c>
      <c r="L122" s="47"/>
      <c r="M122" s="47"/>
      <c r="N122" s="47">
        <f>+[1]FERIYE!L538</f>
        <v>19627.249690411831</v>
      </c>
      <c r="O122" s="47"/>
      <c r="P122" s="47"/>
      <c r="Q122" s="47">
        <f>+[1]FERIYE!O538</f>
        <v>47988.030928217006</v>
      </c>
      <c r="R122" s="47"/>
      <c r="S122" s="47"/>
      <c r="T122" s="47">
        <f>+[1]FERIYE!R538</f>
        <v>-2648.1333912365913</v>
      </c>
      <c r="U122" s="47"/>
      <c r="V122" s="47"/>
      <c r="W122" s="47">
        <f>+[1]FERIYE!U538</f>
        <v>3361.3843776377175</v>
      </c>
      <c r="X122" s="47"/>
      <c r="Y122" s="47"/>
      <c r="Z122" s="47">
        <f>+[1]FERIYE!X538</f>
        <v>0</v>
      </c>
      <c r="AA122" s="47"/>
      <c r="AB122" s="47"/>
      <c r="AC122" s="47">
        <f>+[1]FERIYE!AA538</f>
        <v>0</v>
      </c>
      <c r="AD122" s="47"/>
      <c r="AE122" s="47"/>
      <c r="AF122" s="47">
        <f>+[1]FERIYE!AD538</f>
        <v>0</v>
      </c>
      <c r="AG122" s="47"/>
      <c r="AH122" s="47"/>
      <c r="AI122" s="47">
        <f>+[1]FERIYE!AG538</f>
        <v>0</v>
      </c>
      <c r="AJ122" s="48"/>
      <c r="AK122" s="48"/>
      <c r="AL122" s="96">
        <f>+[1]FERIYE!AJ538</f>
        <v>0</v>
      </c>
    </row>
    <row r="123" spans="1:38" x14ac:dyDescent="0.25">
      <c r="A123" s="73" t="s">
        <v>17</v>
      </c>
      <c r="B123" s="6" t="s">
        <v>58</v>
      </c>
      <c r="C123" s="7" t="s">
        <v>41</v>
      </c>
      <c r="D123" s="34" t="s">
        <v>23</v>
      </c>
      <c r="E123" s="45">
        <f>+[1]FERIYE!C539</f>
        <v>13884.164017218976</v>
      </c>
      <c r="F123" s="46"/>
      <c r="G123" s="46"/>
      <c r="H123" s="47">
        <f>+[1]FERIYE!F539</f>
        <v>13917.407565493375</v>
      </c>
      <c r="I123" s="47"/>
      <c r="J123" s="47"/>
      <c r="K123" s="47">
        <f>+[1]FERIYE!I539</f>
        <v>8539.7764284024906</v>
      </c>
      <c r="L123" s="47"/>
      <c r="M123" s="47"/>
      <c r="N123" s="47">
        <f>+[1]FERIYE!L539</f>
        <v>7129.9434234625696</v>
      </c>
      <c r="O123" s="47"/>
      <c r="P123" s="47"/>
      <c r="Q123" s="47">
        <f>+[1]FERIYE!O539</f>
        <v>18131.989825719247</v>
      </c>
      <c r="R123" s="47"/>
      <c r="S123" s="47"/>
      <c r="T123" s="47">
        <f>+[1]FERIYE!R539</f>
        <v>16376.779429422681</v>
      </c>
      <c r="U123" s="47"/>
      <c r="V123" s="47"/>
      <c r="W123" s="47">
        <f>+[1]FERIYE!U539</f>
        <v>10945.666324724012</v>
      </c>
      <c r="X123" s="47"/>
      <c r="Y123" s="47"/>
      <c r="Z123" s="47">
        <f>+[1]FERIYE!X539</f>
        <v>0</v>
      </c>
      <c r="AA123" s="47"/>
      <c r="AB123" s="47"/>
      <c r="AC123" s="47">
        <f>+[1]FERIYE!AA539</f>
        <v>0</v>
      </c>
      <c r="AD123" s="47"/>
      <c r="AE123" s="47"/>
      <c r="AF123" s="47">
        <f>+[1]FERIYE!AD539</f>
        <v>0</v>
      </c>
      <c r="AG123" s="47"/>
      <c r="AH123" s="47"/>
      <c r="AI123" s="47">
        <f>+[1]FERIYE!AG539</f>
        <v>0</v>
      </c>
      <c r="AJ123" s="48"/>
      <c r="AK123" s="48"/>
      <c r="AL123" s="96">
        <f>+[1]FERIYE!AJ539</f>
        <v>0</v>
      </c>
    </row>
    <row r="124" spans="1:38" x14ac:dyDescent="0.25">
      <c r="A124" s="73" t="s">
        <v>17</v>
      </c>
      <c r="B124" s="6" t="s">
        <v>58</v>
      </c>
      <c r="C124" s="7" t="s">
        <v>42</v>
      </c>
      <c r="D124" s="34" t="s">
        <v>43</v>
      </c>
      <c r="E124" s="97">
        <f>SUM(SUMIFS([1]!Sorgu1[ISLEM_TUTARI_TL],
[1]!Sorgu1[TIP],"NAZIM HESAP",
[1]!Sorgu1[Hesap Kodu],"960.02.01.001",
[1]!Sorgu1[AY],E$5,
[1]!Sorgu1[YIL],2026))*[1]FERIYE!C$96</f>
        <v>16330.926771422253</v>
      </c>
      <c r="F124" s="98"/>
      <c r="G124" s="98"/>
      <c r="H124" s="99">
        <f>SUM(SUMIFS([1]!Sorgu1[ISLEM_TUTARI_TL],
[1]!Sorgu1[TIP],"NAZIM HESAP",
[1]!Sorgu1[Hesap Kodu],"960.02.01.001",
[1]!Sorgu1[AY],H$5,
[1]!Sorgu1[YIL],2026))*[1]FERIYE!F$96</f>
        <v>14175.669196927191</v>
      </c>
      <c r="I124" s="99"/>
      <c r="J124" s="99"/>
      <c r="K124" s="99">
        <f>SUM(SUMIFS([1]!Sorgu1[ISLEM_TUTARI_TL],
[1]!Sorgu1[TIP],"NAZIM HESAP",
[1]!Sorgu1[Hesap Kodu],"960.02.01.001",
[1]!Sorgu1[AY],K$5,
[1]!Sorgu1[YIL],2026))*[1]FERIYE!I$96</f>
        <v>7353.2163141954816</v>
      </c>
      <c r="L124" s="99"/>
      <c r="M124" s="99"/>
      <c r="N124" s="99">
        <f>SUM(SUMIFS([1]!Sorgu1[ISLEM_TUTARI_TL],
[1]!Sorgu1[TIP],"NAZIM HESAP",
[1]!Sorgu1[Hesap Kodu],"960.02.01.001",
[1]!Sorgu1[AY],N$5,
[1]!Sorgu1[YIL],2026))*[1]FERIYE!L$96</f>
        <v>6092.2673693767701</v>
      </c>
      <c r="O124" s="99"/>
      <c r="P124" s="99"/>
      <c r="Q124" s="99">
        <f>SUM(SUMIFS([1]!Sorgu1[ISLEM_TUTARI_TL],
[1]!Sorgu1[TIP],"NAZIM HESAP",
[1]!Sorgu1[Hesap Kodu],"960.02.01.001",
[1]!Sorgu1[AY],Q$5,
[1]!Sorgu1[YIL],2026))*[1]FERIYE!O$96</f>
        <v>7647.166776307432</v>
      </c>
      <c r="R124" s="99"/>
      <c r="S124" s="99"/>
      <c r="T124" s="99">
        <f>SUM(SUMIFS([1]!Sorgu1[ISLEM_TUTARI_TL],
[1]!Sorgu1[TIP],"NAZIM HESAP",
[1]!Sorgu1[Hesap Kodu],"960.02.01.001",
[1]!Sorgu1[AY],T$5,
[1]!Sorgu1[YIL],2026))*[1]FERIYE!R$96</f>
        <v>8264.4118043094622</v>
      </c>
      <c r="U124" s="99"/>
      <c r="V124" s="99"/>
      <c r="W124" s="99">
        <f>SUM(SUMIFS([1]!Sorgu1[ISLEM_TUTARI_TL],
[1]!Sorgu1[TIP],"NAZIM HESAP",
[1]!Sorgu1[Hesap Kodu],"960.02.01.001",
[1]!Sorgu1[AY],W$5,
[1]!Sorgu1[YIL],2026))*[1]FERIYE!U$96</f>
        <v>3465.8083277948263</v>
      </c>
      <c r="X124" s="99"/>
      <c r="Y124" s="99"/>
      <c r="Z124" s="99">
        <f>SUM(SUMIFS([1]!Sorgu1[ISLEM_TUTARI_TL],
[1]!Sorgu1[TIP],"NAZIM HESAP",
[1]!Sorgu1[Hesap Kodu],"960.02.01.001",
[1]!Sorgu1[AY],Z$5,
[1]!Sorgu1[YIL],2026))*[1]FERIYE!X$96</f>
        <v>0</v>
      </c>
      <c r="AA124" s="99"/>
      <c r="AB124" s="99"/>
      <c r="AC124" s="99">
        <f>SUM(SUMIFS([1]!Sorgu1[ISLEM_TUTARI_TL],
[1]!Sorgu1[TIP],"NAZIM HESAP",
[1]!Sorgu1[Hesap Kodu],"960.02.01.001",
[1]!Sorgu1[AY],AC$5,
[1]!Sorgu1[YIL],2026))*[1]FERIYE!AA$96</f>
        <v>0</v>
      </c>
      <c r="AD124" s="99"/>
      <c r="AE124" s="99"/>
      <c r="AF124" s="99">
        <f>SUM(SUMIFS([1]!Sorgu1[ISLEM_TUTARI_TL],
[1]!Sorgu1[TIP],"NAZIM HESAP",
[1]!Sorgu1[Hesap Kodu],"960.02.01.001",
[1]!Sorgu1[AY],AF$5,
[1]!Sorgu1[YIL],2026))*[1]FERIYE!AD$96</f>
        <v>0</v>
      </c>
      <c r="AG124" s="99"/>
      <c r="AH124" s="99"/>
      <c r="AI124" s="99">
        <f>SUM(SUMIFS([1]!Sorgu1[ISLEM_TUTARI_TL],
[1]!Sorgu1[TIP],"NAZIM HESAP",
[1]!Sorgu1[Hesap Kodu],"960.02.01.001",
[1]!Sorgu1[AY],AI$5,
[1]!Sorgu1[YIL],2026))*[1]FERIYE!AG$96</f>
        <v>0</v>
      </c>
      <c r="AJ124" s="100"/>
      <c r="AK124" s="100"/>
      <c r="AL124" s="101">
        <f>SUM(SUMIFS([1]!Sorgu1[ISLEM_TUTARI_TL],
[1]!Sorgu1[TIP],"NAZIM HESAP",
[1]!Sorgu1[Hesap Kodu],"960.02.01.001",
[1]!Sorgu1[AY],AL$5,
[1]!Sorgu1[YIL],2026))*[1]FERIYE!AJ$96</f>
        <v>0</v>
      </c>
    </row>
    <row r="125" spans="1:38" x14ac:dyDescent="0.25">
      <c r="A125" s="73" t="s">
        <v>17</v>
      </c>
      <c r="B125" s="6" t="s">
        <v>58</v>
      </c>
      <c r="C125" s="7" t="s">
        <v>44</v>
      </c>
      <c r="D125" s="34" t="s">
        <v>45</v>
      </c>
      <c r="E125" s="102">
        <f>SUM(SUMIFS([1]!Sorgu1[ISLEM_TUTARI_TL],
[1]!Sorgu1[TIP],"NAZIM HESAP",
[1]!Sorgu1[Hesap Kodu],"960.02.01.003",
[1]!Sorgu1[AY],E$5,
[1]!Sorgu1[YIL],2026))*[1]FERIYE!C$96</f>
        <v>2119.5224961351005</v>
      </c>
      <c r="F125" s="103"/>
      <c r="G125" s="103"/>
      <c r="H125" s="104">
        <f>SUM(SUMIFS([1]!Sorgu1[ISLEM_TUTARI_TL],
[1]!Sorgu1[TIP],"NAZIM HESAP",
[1]!Sorgu1[Hesap Kodu],"960.02.01.003",
[1]!Sorgu1[AY],H$5,
[1]!Sorgu1[YIL],2026))*[1]FERIYE!F$96</f>
        <v>3152.7977876263844</v>
      </c>
      <c r="I125" s="104"/>
      <c r="J125" s="104"/>
      <c r="K125" s="104">
        <f>SUM(SUMIFS([1]!Sorgu1[ISLEM_TUTARI_TL],
[1]!Sorgu1[TIP],"NAZIM HESAP",
[1]!Sorgu1[Hesap Kodu],"960.02.01.003",
[1]!Sorgu1[AY],K$5,
[1]!Sorgu1[YIL],2026))*[1]FERIYE!I$96</f>
        <v>1227.6677538502156</v>
      </c>
      <c r="L125" s="104"/>
      <c r="M125" s="104"/>
      <c r="N125" s="104">
        <f>SUM(SUMIFS([1]!Sorgu1[ISLEM_TUTARI_TL],
[1]!Sorgu1[TIP],"NAZIM HESAP",
[1]!Sorgu1[Hesap Kodu],"960.02.01.003",
[1]!Sorgu1[AY],N$5,
[1]!Sorgu1[YIL],2026))*[1]FERIYE!L$96</f>
        <v>825.28677876766653</v>
      </c>
      <c r="O125" s="104"/>
      <c r="P125" s="104"/>
      <c r="Q125" s="104">
        <f>SUM(SUMIFS([1]!Sorgu1[ISLEM_TUTARI_TL],
[1]!Sorgu1[TIP],"NAZIM HESAP",
[1]!Sorgu1[Hesap Kodu],"960.02.01.003",
[1]!Sorgu1[AY],Q$5,
[1]!Sorgu1[YIL],2026))*[1]FERIYE!O$96</f>
        <v>4287.7410153567871</v>
      </c>
      <c r="R125" s="104"/>
      <c r="S125" s="104"/>
      <c r="T125" s="104">
        <f>SUM(SUMIFS([1]!Sorgu1[ISLEM_TUTARI_TL],
[1]!Sorgu1[TIP],"NAZIM HESAP",
[1]!Sorgu1[Hesap Kodu],"960.02.01.003",
[1]!Sorgu1[AY],T$5,
[1]!Sorgu1[YIL],2026))*[1]FERIYE!R$96</f>
        <v>334.00264056152503</v>
      </c>
      <c r="U125" s="104"/>
      <c r="V125" s="104"/>
      <c r="W125" s="104">
        <f>SUM(SUMIFS([1]!Sorgu1[ISLEM_TUTARI_TL],
[1]!Sorgu1[TIP],"NAZIM HESAP",
[1]!Sorgu1[Hesap Kodu],"960.02.01.003",
[1]!Sorgu1[AY],W$5,
[1]!Sorgu1[YIL],2026))*[1]FERIYE!U$96</f>
        <v>152.26636647433821</v>
      </c>
      <c r="X125" s="104"/>
      <c r="Y125" s="104"/>
      <c r="Z125" s="104">
        <f>SUM(SUMIFS([1]!Sorgu1[ISLEM_TUTARI_TL],
[1]!Sorgu1[TIP],"NAZIM HESAP",
[1]!Sorgu1[Hesap Kodu],"960.02.01.003",
[1]!Sorgu1[AY],Z$5,
[1]!Sorgu1[YIL],2026))*[1]FERIYE!X$96</f>
        <v>0</v>
      </c>
      <c r="AA125" s="104"/>
      <c r="AB125" s="104"/>
      <c r="AC125" s="104">
        <f>SUM(SUMIFS([1]!Sorgu1[ISLEM_TUTARI_TL],
[1]!Sorgu1[TIP],"NAZIM HESAP",
[1]!Sorgu1[Hesap Kodu],"960.02.01.003",
[1]!Sorgu1[AY],AC$5,
[1]!Sorgu1[YIL],2026))*[1]FERIYE!AA$96</f>
        <v>0</v>
      </c>
      <c r="AD125" s="104"/>
      <c r="AE125" s="104"/>
      <c r="AF125" s="104">
        <f>SUM(SUMIFS([1]!Sorgu1[ISLEM_TUTARI_TL],
[1]!Sorgu1[TIP],"NAZIM HESAP",
[1]!Sorgu1[Hesap Kodu],"960.02.01.003",
[1]!Sorgu1[AY],AF$5,
[1]!Sorgu1[YIL],2026))*[1]FERIYE!AD$96</f>
        <v>0</v>
      </c>
      <c r="AG125" s="104"/>
      <c r="AH125" s="104"/>
      <c r="AI125" s="104">
        <f>SUM(SUMIFS([1]!Sorgu1[ISLEM_TUTARI_TL],
[1]!Sorgu1[TIP],"NAZIM HESAP",
[1]!Sorgu1[Hesap Kodu],"960.02.01.003",
[1]!Sorgu1[AY],AI$5,
[1]!Sorgu1[YIL],2026))*[1]FERIYE!AG$96</f>
        <v>0</v>
      </c>
      <c r="AJ125" s="105"/>
      <c r="AK125" s="105"/>
      <c r="AL125" s="106">
        <f>SUM(SUMIFS([1]!Sorgu1[ISLEM_TUTARI_TL],
[1]!Sorgu1[TIP],"NAZIM HESAP",
[1]!Sorgu1[Hesap Kodu],"960.02.01.003",
[1]!Sorgu1[AY],AL$5,
[1]!Sorgu1[YIL],2026))*[1]FERIYE!AJ$96</f>
        <v>0</v>
      </c>
    </row>
    <row r="126" spans="1:38" x14ac:dyDescent="0.25">
      <c r="A126" s="73" t="s">
        <v>17</v>
      </c>
      <c r="B126" s="6" t="s">
        <v>58</v>
      </c>
      <c r="C126" s="7" t="s">
        <v>46</v>
      </c>
      <c r="D126" s="34" t="s">
        <v>45</v>
      </c>
      <c r="E126" s="107">
        <f>SUM(SUMIFS([1]!Sorgu1[ISLEM_TUTARI_TL],
[1]!Sorgu1[TIP],"NAZIM HESAP",
[1]!Sorgu1[Hesap Kodu],"960.02.01.002",
[1]!Sorgu1[AY],E$5,
[1]!Sorgu1[YIL],2026))*[1]FERIYE!C$96</f>
        <v>102.59106506229716</v>
      </c>
      <c r="F126" s="108"/>
      <c r="G126" s="108"/>
      <c r="H126" s="109">
        <f>SUM(SUMIFS([1]!Sorgu1[ISLEM_TUTARI_TL],
[1]!Sorgu1[TIP],"NAZIM HESAP",
[1]!Sorgu1[Hesap Kodu],"960.02.01.002",
[1]!Sorgu1[AY],H$5,
[1]!Sorgu1[YIL],2026))*[1]FERIYE!F$96</f>
        <v>108.69854807502348</v>
      </c>
      <c r="I126" s="109"/>
      <c r="J126" s="109"/>
      <c r="K126" s="109">
        <f>SUM(SUMIFS([1]!Sorgu1[ISLEM_TUTARI_TL],
[1]!Sorgu1[TIP],"NAZIM HESAP",
[1]!Sorgu1[Hesap Kodu],"960.02.01.002",
[1]!Sorgu1[AY],K$5,
[1]!Sorgu1[YIL],2026))*[1]FERIYE!I$96</f>
        <v>46.217823057906834</v>
      </c>
      <c r="L126" s="109"/>
      <c r="M126" s="109"/>
      <c r="N126" s="109">
        <f>SUM(SUMIFS([1]!Sorgu1[ISLEM_TUTARI_TL],
[1]!Sorgu1[TIP],"NAZIM HESAP",
[1]!Sorgu1[Hesap Kodu],"960.02.01.002",
[1]!Sorgu1[AY],N$5,
[1]!Sorgu1[YIL],2026))*[1]FERIYE!L$96</f>
        <v>38.786083262021393</v>
      </c>
      <c r="O126" s="109"/>
      <c r="P126" s="109"/>
      <c r="Q126" s="109">
        <f>SUM(SUMIFS([1]!Sorgu1[ISLEM_TUTARI_TL],
[1]!Sorgu1[TIP],"NAZIM HESAP",
[1]!Sorgu1[Hesap Kodu],"960.02.01.002",
[1]!Sorgu1[AY],Q$5,
[1]!Sorgu1[YIL],2026))*[1]FERIYE!O$96</f>
        <v>117.10551572950409</v>
      </c>
      <c r="R126" s="109"/>
      <c r="S126" s="109"/>
      <c r="T126" s="109">
        <f>SUM(SUMIFS([1]!Sorgu1[ISLEM_TUTARI_TL],
[1]!Sorgu1[TIP],"NAZIM HESAP",
[1]!Sorgu1[Hesap Kodu],"960.02.01.002",
[1]!Sorgu1[AY],T$5,
[1]!Sorgu1[YIL],2026))*[1]FERIYE!R$96</f>
        <v>87.479124071513041</v>
      </c>
      <c r="U126" s="109"/>
      <c r="V126" s="109"/>
      <c r="W126" s="109">
        <f>SUM(SUMIFS([1]!Sorgu1[ISLEM_TUTARI_TL],
[1]!Sorgu1[TIP],"NAZIM HESAP",
[1]!Sorgu1[Hesap Kodu],"960.02.01.002",
[1]!Sorgu1[AY],W$5,
[1]!Sorgu1[YIL],2026))*[1]FERIYE!U$96</f>
        <v>50.024932665223758</v>
      </c>
      <c r="X126" s="109"/>
      <c r="Y126" s="109"/>
      <c r="Z126" s="109">
        <f>SUM(SUMIFS([1]!Sorgu1[ISLEM_TUTARI_TL],
[1]!Sorgu1[TIP],"NAZIM HESAP",
[1]!Sorgu1[Hesap Kodu],"960.02.01.002",
[1]!Sorgu1[AY],Z$5,
[1]!Sorgu1[YIL],2026))*[1]FERIYE!X$96</f>
        <v>0</v>
      </c>
      <c r="AA126" s="109"/>
      <c r="AB126" s="109"/>
      <c r="AC126" s="109">
        <f>SUM(SUMIFS([1]!Sorgu1[ISLEM_TUTARI_TL],
[1]!Sorgu1[TIP],"NAZIM HESAP",
[1]!Sorgu1[Hesap Kodu],"960.02.01.002",
[1]!Sorgu1[AY],AC$5,
[1]!Sorgu1[YIL],2026))*[1]FERIYE!AA$96</f>
        <v>0</v>
      </c>
      <c r="AD126" s="109"/>
      <c r="AE126" s="109"/>
      <c r="AF126" s="109">
        <f>SUM(SUMIFS([1]!Sorgu1[ISLEM_TUTARI_TL],
[1]!Sorgu1[TIP],"NAZIM HESAP",
[1]!Sorgu1[Hesap Kodu],"960.02.01.002",
[1]!Sorgu1[AY],AF$5,
[1]!Sorgu1[YIL],2026))*[1]FERIYE!AD$96</f>
        <v>0</v>
      </c>
      <c r="AG126" s="109"/>
      <c r="AH126" s="109"/>
      <c r="AI126" s="109">
        <f>SUM(SUMIFS([1]!Sorgu1[ISLEM_TUTARI_TL],
[1]!Sorgu1[TIP],"NAZIM HESAP",
[1]!Sorgu1[Hesap Kodu],"960.02.01.002",
[1]!Sorgu1[AY],AI$5,
[1]!Sorgu1[YIL],2026))*[1]FERIYE!AG$96</f>
        <v>0</v>
      </c>
      <c r="AJ126" s="110"/>
      <c r="AK126" s="110"/>
      <c r="AL126" s="111">
        <f>SUM(SUMIFS([1]!Sorgu1[ISLEM_TUTARI_TL],
[1]!Sorgu1[TIP],"NAZIM HESAP",
[1]!Sorgu1[Hesap Kodu],"960.02.01.002",
[1]!Sorgu1[AY],AL$5,
[1]!Sorgu1[YIL],2026))*[1]FERIYE!AJ$96</f>
        <v>0</v>
      </c>
    </row>
    <row r="127" spans="1:38" x14ac:dyDescent="0.25">
      <c r="A127" s="73" t="s">
        <v>17</v>
      </c>
      <c r="B127" s="6" t="s">
        <v>58</v>
      </c>
      <c r="C127" s="7" t="s">
        <v>47</v>
      </c>
      <c r="D127" s="8" t="s">
        <v>23</v>
      </c>
      <c r="E127" s="49">
        <f>IFERROR(+E121/E124,0)</f>
        <v>4.0540012956761773</v>
      </c>
      <c r="F127" s="50"/>
      <c r="G127" s="50"/>
      <c r="H127" s="51">
        <f>IFERROR(+H121/H124,0)</f>
        <v>3.5873160418163126</v>
      </c>
      <c r="I127" s="52"/>
      <c r="J127" s="52"/>
      <c r="K127" s="51">
        <f>IFERROR(+K121/K124,0)</f>
        <v>4.2260234708005795</v>
      </c>
      <c r="L127" s="52"/>
      <c r="M127" s="52"/>
      <c r="N127" s="51">
        <f>IFERROR(+N121/N124,0)</f>
        <v>4.2608796642146531</v>
      </c>
      <c r="O127" s="52"/>
      <c r="P127" s="52"/>
      <c r="Q127" s="51">
        <f>IFERROR(+Q121/Q124,0)</f>
        <v>4.2540373719546043</v>
      </c>
      <c r="R127" s="52"/>
      <c r="S127" s="52"/>
      <c r="T127" s="51">
        <f>IFERROR(+T121/T124,0)</f>
        <v>3.9397769371020774</v>
      </c>
      <c r="U127" s="52"/>
      <c r="V127" s="52"/>
      <c r="W127" s="51">
        <f>IFERROR(+W121/W124,0)</f>
        <v>6.4465019925576357</v>
      </c>
      <c r="X127" s="52"/>
      <c r="Y127" s="52"/>
      <c r="Z127" s="51">
        <f>IFERROR(+Z121/Z124,0)</f>
        <v>0</v>
      </c>
      <c r="AA127" s="52"/>
      <c r="AB127" s="52"/>
      <c r="AC127" s="51">
        <f>IFERROR(+AC121/AC124,0)</f>
        <v>0</v>
      </c>
      <c r="AD127" s="52"/>
      <c r="AE127" s="52"/>
      <c r="AF127" s="51">
        <f>IFERROR(+AF121/AF124,0)</f>
        <v>0</v>
      </c>
      <c r="AG127" s="52"/>
      <c r="AH127" s="52"/>
      <c r="AI127" s="51">
        <f>IFERROR(+AI121/AI124,0)</f>
        <v>0</v>
      </c>
      <c r="AJ127" s="53"/>
      <c r="AK127" s="53"/>
      <c r="AL127" s="112">
        <f>IFERROR(+AL121/AL124,0)</f>
        <v>0</v>
      </c>
    </row>
    <row r="128" spans="1:38" x14ac:dyDescent="0.25">
      <c r="A128" s="73" t="s">
        <v>17</v>
      </c>
      <c r="B128" s="6" t="s">
        <v>58</v>
      </c>
      <c r="C128" s="7" t="s">
        <v>48</v>
      </c>
      <c r="D128" s="34" t="s">
        <v>23</v>
      </c>
      <c r="E128" s="49">
        <f>IFERROR(+E122/E125,0)</f>
        <v>14.435261277668815</v>
      </c>
      <c r="F128" s="50"/>
      <c r="G128" s="50"/>
      <c r="H128" s="51">
        <f>IFERROR(+H122/H125,0)</f>
        <v>14.232054911810033</v>
      </c>
      <c r="I128" s="52"/>
      <c r="J128" s="52"/>
      <c r="K128" s="51">
        <f>IFERROR(+K122/K125,0)</f>
        <v>21.624530081879673</v>
      </c>
      <c r="L128" s="52"/>
      <c r="M128" s="52"/>
      <c r="N128" s="51">
        <f>IFERROR(+N122/N125,0)</f>
        <v>23.782338691672248</v>
      </c>
      <c r="O128" s="52"/>
      <c r="P128" s="52"/>
      <c r="Q128" s="51">
        <f>IFERROR(+Q122/Q125,0)</f>
        <v>11.19191452010398</v>
      </c>
      <c r="R128" s="52"/>
      <c r="S128" s="52"/>
      <c r="T128" s="51">
        <f>IFERROR(+T122/T125,0)</f>
        <v>-7.9284804059768845</v>
      </c>
      <c r="U128" s="52"/>
      <c r="V128" s="52"/>
      <c r="W128" s="51">
        <f>IFERROR(+W122/W125,0)</f>
        <v>22.075685231539424</v>
      </c>
      <c r="X128" s="52"/>
      <c r="Y128" s="52"/>
      <c r="Z128" s="51">
        <f>IFERROR(+Z122/Z125,0)</f>
        <v>0</v>
      </c>
      <c r="AA128" s="52"/>
      <c r="AB128" s="52"/>
      <c r="AC128" s="51">
        <f>IFERROR(+AC122/AC125,0)</f>
        <v>0</v>
      </c>
      <c r="AD128" s="52"/>
      <c r="AE128" s="52"/>
      <c r="AF128" s="51">
        <f>IFERROR(+AF122/AF125,0)</f>
        <v>0</v>
      </c>
      <c r="AG128" s="52"/>
      <c r="AH128" s="52"/>
      <c r="AI128" s="51">
        <f>IFERROR(+AI122/AI125,0)</f>
        <v>0</v>
      </c>
      <c r="AJ128" s="53"/>
      <c r="AK128" s="53"/>
      <c r="AL128" s="112">
        <f>IFERROR(+AL122/AL125,0)</f>
        <v>0</v>
      </c>
    </row>
    <row r="129" spans="1:38" x14ac:dyDescent="0.25">
      <c r="A129" s="73" t="s">
        <v>17</v>
      </c>
      <c r="B129" s="6" t="s">
        <v>58</v>
      </c>
      <c r="C129" s="7" t="s">
        <v>49</v>
      </c>
      <c r="D129" s="34" t="s">
        <v>23</v>
      </c>
      <c r="E129" s="54">
        <f>IFERROR(+E123/E126,0)</f>
        <v>135.33502170767005</v>
      </c>
      <c r="F129" s="55"/>
      <c r="G129" s="55"/>
      <c r="H129" s="56">
        <f>IFERROR(+H123/H126,0)</f>
        <v>128.036738410596</v>
      </c>
      <c r="I129" s="57"/>
      <c r="J129" s="57"/>
      <c r="K129" s="56">
        <f>IFERROR(+K123/K126,0)</f>
        <v>184.77236406619386</v>
      </c>
      <c r="L129" s="57"/>
      <c r="M129" s="57"/>
      <c r="N129" s="56">
        <f>IFERROR(+N123/N126,0)</f>
        <v>183.82736342042759</v>
      </c>
      <c r="O129" s="57"/>
      <c r="P129" s="57"/>
      <c r="Q129" s="56">
        <f>IFERROR(+Q123/Q126,0)</f>
        <v>154.83463535228677</v>
      </c>
      <c r="R129" s="57"/>
      <c r="S129" s="57"/>
      <c r="T129" s="56">
        <f>IFERROR(+T123/T126,0)</f>
        <v>187.20785791173307</v>
      </c>
      <c r="U129" s="57"/>
      <c r="V129" s="57"/>
      <c r="W129" s="56">
        <f>IFERROR(+W123/W126,0)</f>
        <v>218.80421904761903</v>
      </c>
      <c r="X129" s="57"/>
      <c r="Y129" s="57"/>
      <c r="Z129" s="56">
        <f>IFERROR(+Z123/Z126,0)</f>
        <v>0</v>
      </c>
      <c r="AA129" s="57"/>
      <c r="AB129" s="57"/>
      <c r="AC129" s="56">
        <f>IFERROR(+AC123/AC126,0)</f>
        <v>0</v>
      </c>
      <c r="AD129" s="57"/>
      <c r="AE129" s="57"/>
      <c r="AF129" s="56">
        <f>IFERROR(+AF123/AF126,0)</f>
        <v>0</v>
      </c>
      <c r="AG129" s="57"/>
      <c r="AH129" s="57"/>
      <c r="AI129" s="56">
        <f>IFERROR(+AI123/AI126,0)</f>
        <v>0</v>
      </c>
      <c r="AJ129" s="58"/>
      <c r="AK129" s="58"/>
      <c r="AL129" s="113">
        <f>IFERROR(+AL123/AL126,0)</f>
        <v>0</v>
      </c>
    </row>
    <row r="130" spans="1:38" x14ac:dyDescent="0.25">
      <c r="A130" s="73" t="s">
        <v>17</v>
      </c>
      <c r="B130" s="6" t="s">
        <v>58</v>
      </c>
      <c r="C130" s="7" t="s">
        <v>50</v>
      </c>
      <c r="D130" s="8" t="s">
        <v>23</v>
      </c>
      <c r="E130" s="59">
        <f>+[1]FERIYE!C564</f>
        <v>1817250</v>
      </c>
      <c r="F130" s="60"/>
      <c r="G130" s="60"/>
      <c r="H130" s="61">
        <f>+[1]FERIYE!F564</f>
        <v>1817250</v>
      </c>
      <c r="I130" s="61"/>
      <c r="J130" s="61"/>
      <c r="K130" s="61">
        <f>+[1]FERIYE!I564</f>
        <v>1817250</v>
      </c>
      <c r="L130" s="61"/>
      <c r="M130" s="61"/>
      <c r="N130" s="61">
        <f>+[1]FERIYE!L564</f>
        <v>1817250</v>
      </c>
      <c r="O130" s="61"/>
      <c r="P130" s="61"/>
      <c r="Q130" s="61">
        <f>+[1]FERIYE!O564</f>
        <v>2106937.5</v>
      </c>
      <c r="R130" s="61"/>
      <c r="S130" s="61"/>
      <c r="T130" s="61">
        <f>+[1]FERIYE!R564</f>
        <v>2106937.5</v>
      </c>
      <c r="U130" s="61"/>
      <c r="V130" s="61"/>
      <c r="W130" s="61">
        <f>+[1]FERIYE!U564</f>
        <v>2106937.5</v>
      </c>
      <c r="X130" s="61"/>
      <c r="Y130" s="61"/>
      <c r="Z130" s="61">
        <f>+[1]FERIYE!X564</f>
        <v>0</v>
      </c>
      <c r="AA130" s="61"/>
      <c r="AB130" s="61"/>
      <c r="AC130" s="61">
        <f>+[1]FERIYE!AA564</f>
        <v>0</v>
      </c>
      <c r="AD130" s="61"/>
      <c r="AE130" s="61"/>
      <c r="AF130" s="61">
        <f>+[1]FERIYE!AD564</f>
        <v>0</v>
      </c>
      <c r="AG130" s="61"/>
      <c r="AH130" s="61"/>
      <c r="AI130" s="61">
        <f>+[1]FERIYE!AG564</f>
        <v>0</v>
      </c>
      <c r="AJ130" s="62"/>
      <c r="AK130" s="62"/>
      <c r="AL130" s="114">
        <f>+[1]FERIYE!AJ564</f>
        <v>0</v>
      </c>
    </row>
    <row r="131" spans="1:38" x14ac:dyDescent="0.25">
      <c r="A131" s="73" t="s">
        <v>17</v>
      </c>
      <c r="B131" s="6" t="s">
        <v>58</v>
      </c>
      <c r="C131" s="7" t="s">
        <v>51</v>
      </c>
      <c r="D131" s="8" t="s">
        <v>20</v>
      </c>
      <c r="E131" s="9"/>
      <c r="F131" s="10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2"/>
      <c r="AK131" s="12"/>
      <c r="AL131" s="74"/>
    </row>
    <row r="132" spans="1:38" x14ac:dyDescent="0.25">
      <c r="A132" s="85" t="s">
        <v>17</v>
      </c>
      <c r="B132" s="32" t="s">
        <v>58</v>
      </c>
      <c r="C132" s="33" t="s">
        <v>52</v>
      </c>
      <c r="D132" s="34" t="s">
        <v>23</v>
      </c>
      <c r="E132" s="24">
        <f>+[1]FERIYE!C572</f>
        <v>754366.6773499063</v>
      </c>
      <c r="F132" s="25"/>
      <c r="G132" s="25"/>
      <c r="H132" s="26">
        <f>+[1]FERIYE!F572</f>
        <v>794238.59114073578</v>
      </c>
      <c r="I132" s="26"/>
      <c r="J132" s="26"/>
      <c r="K132" s="26">
        <f>+[1]FERIYE!I572</f>
        <v>539709.25855835143</v>
      </c>
      <c r="L132" s="26"/>
      <c r="M132" s="26"/>
      <c r="N132" s="26">
        <f>+[1]FERIYE!L572</f>
        <v>408982.7728269514</v>
      </c>
      <c r="O132" s="26"/>
      <c r="P132" s="26"/>
      <c r="Q132" s="26">
        <f>+[1]FERIYE!O572</f>
        <v>623626.45749933401</v>
      </c>
      <c r="R132" s="26"/>
      <c r="S132" s="26"/>
      <c r="T132" s="26">
        <f>+[1]FERIYE!R572</f>
        <v>500113.93013469403</v>
      </c>
      <c r="U132" s="26"/>
      <c r="V132" s="26"/>
      <c r="W132" s="26">
        <f>+[1]FERIYE!U572</f>
        <v>346935.17068132863</v>
      </c>
      <c r="X132" s="26"/>
      <c r="Y132" s="26"/>
      <c r="Z132" s="26">
        <f>+[1]FERIYE!X441</f>
        <v>0</v>
      </c>
      <c r="AA132" s="26"/>
      <c r="AB132" s="26"/>
      <c r="AC132" s="26">
        <f>+[1]FERIYE!AA441</f>
        <v>0</v>
      </c>
      <c r="AD132" s="26"/>
      <c r="AE132" s="26"/>
      <c r="AF132" s="26">
        <f>+[1]FERIYE!AD441</f>
        <v>0</v>
      </c>
      <c r="AG132" s="26"/>
      <c r="AH132" s="26"/>
      <c r="AI132" s="26">
        <f>+[1]FERIYE!AG441</f>
        <v>0</v>
      </c>
      <c r="AJ132" s="27"/>
      <c r="AK132" s="27"/>
      <c r="AL132" s="78">
        <f>+[1]FERIYE!AJ441</f>
        <v>0</v>
      </c>
    </row>
    <row r="133" spans="1:38" x14ac:dyDescent="0.25">
      <c r="A133" s="85" t="s">
        <v>17</v>
      </c>
      <c r="B133" s="32" t="s">
        <v>58</v>
      </c>
      <c r="C133" s="33" t="s">
        <v>53</v>
      </c>
      <c r="D133" s="34" t="s">
        <v>23</v>
      </c>
      <c r="E133" s="28">
        <f>+[1]FERIYE!C579-[1]FERIYE!C572-[1]FERIYE!C564-[1]FERIYE!C537-[1]FERIYE!C538-[1]FERIYE!C539</f>
        <v>557949.19647481909</v>
      </c>
      <c r="F133" s="29"/>
      <c r="G133" s="29"/>
      <c r="H133" s="30">
        <f>+[1]FERIYE!F579-[1]FERIYE!F572-[1]FERIYE!F564-[1]FERIYE!F537-[1]FERIYE!F538-[1]FERIYE!F539</f>
        <v>696028.05055765691</v>
      </c>
      <c r="I133" s="30"/>
      <c r="J133" s="30"/>
      <c r="K133" s="30">
        <f>+[1]FERIYE!I579-[1]FERIYE!I572-[1]FERIYE!I564-[1]FERIYE!I537-[1]FERIYE!I538-[1]FERIYE!I539</f>
        <v>433146.61537985725</v>
      </c>
      <c r="L133" s="30"/>
      <c r="M133" s="30"/>
      <c r="N133" s="30">
        <f>+[1]FERIYE!L579-[1]FERIYE!L572-[1]FERIYE!L564-[1]FERIYE!L537-[1]FERIYE!L538-[1]FERIYE!L539</f>
        <v>419239.16644644481</v>
      </c>
      <c r="O133" s="30"/>
      <c r="P133" s="30"/>
      <c r="Q133" s="30">
        <f>+[1]FERIYE!O579-[1]FERIYE!O572-[1]FERIYE!O564-[1]FERIYE!O537-[1]FERIYE!O538-[1]FERIYE!O539</f>
        <v>731856.15917775896</v>
      </c>
      <c r="R133" s="30"/>
      <c r="S133" s="30"/>
      <c r="T133" s="30">
        <f>+[1]FERIYE!R579-[1]FERIYE!R572-[1]FERIYE!R564-[1]FERIYE!R537-[1]FERIYE!R538-[1]FERIYE!R539</f>
        <v>692888.72549837851</v>
      </c>
      <c r="U133" s="30"/>
      <c r="V133" s="30"/>
      <c r="W133" s="30">
        <f>+[1]FERIYE!U579-[1]FERIYE!U572-[1]FERIYE!U564-[1]FERIYE!U537-[1]FERIYE!U538-[1]FERIYE!U539</f>
        <v>307430.84642988857</v>
      </c>
      <c r="X133" s="30"/>
      <c r="Y133" s="30"/>
      <c r="Z133" s="30">
        <f>+[1]FERIYE!X579-[1]FERIYE!X572-[1]FERIYE!X564-[1]FERIYE!X537-[1]FERIYE!X538-[1]FERIYE!X539</f>
        <v>0</v>
      </c>
      <c r="AA133" s="30"/>
      <c r="AB133" s="30"/>
      <c r="AC133" s="30">
        <f>+[1]FERIYE!AA579-[1]FERIYE!AA572-[1]FERIYE!AA564-[1]FERIYE!AA537-[1]FERIYE!AA538-[1]FERIYE!AA539</f>
        <v>0</v>
      </c>
      <c r="AD133" s="30"/>
      <c r="AE133" s="30"/>
      <c r="AF133" s="30">
        <f>+[1]FERIYE!AD579-[1]FERIYE!AD572-[1]FERIYE!AD564-[1]FERIYE!AD537-[1]FERIYE!AD538-[1]FERIYE!AD539</f>
        <v>0</v>
      </c>
      <c r="AG133" s="30"/>
      <c r="AH133" s="30"/>
      <c r="AI133" s="30">
        <f>+[1]FERIYE!AG579-[1]FERIYE!AG572-[1]FERIYE!AG564-[1]FERIYE!AG537-[1]FERIYE!AG538-[1]FERIYE!AG539</f>
        <v>0</v>
      </c>
      <c r="AJ133" s="31"/>
      <c r="AK133" s="31"/>
      <c r="AL133" s="79">
        <f>+[1]FERIYE!AJ579-[1]FERIYE!AJ572-[1]FERIYE!AJ564-[1]FERIYE!AJ537-[1]FERIYE!AJ538-[1]FERIYE!AJ539</f>
        <v>0</v>
      </c>
    </row>
    <row r="134" spans="1:38" x14ac:dyDescent="0.25">
      <c r="A134" s="85" t="s">
        <v>17</v>
      </c>
      <c r="B134" s="32" t="s">
        <v>58</v>
      </c>
      <c r="C134" s="33" t="s">
        <v>54</v>
      </c>
      <c r="D134" s="34" t="s">
        <v>23</v>
      </c>
      <c r="E134" s="59">
        <f>+E109+E110+E119+E121+E122+E123+E130+E132+E133</f>
        <v>5024837.0731816022</v>
      </c>
      <c r="F134" s="60"/>
      <c r="G134" s="60"/>
      <c r="H134" s="61">
        <f>+H109+H110+H119+H121+H122+H123+H130+H132+H133</f>
        <v>5661418.806947032</v>
      </c>
      <c r="I134" s="61"/>
      <c r="J134" s="61"/>
      <c r="K134" s="61">
        <f>+K109+K110+K119+K121+K122+K123+K130+K132+K133</f>
        <v>4213334.5801880732</v>
      </c>
      <c r="L134" s="61"/>
      <c r="M134" s="61"/>
      <c r="N134" s="61">
        <f>+N109+N110+N119+N121+N122+N123+N130+N132+N133</f>
        <v>4001048.870800741</v>
      </c>
      <c r="O134" s="61"/>
      <c r="P134" s="61"/>
      <c r="Q134" s="61">
        <f>+Q109+Q110+Q119+Q121+Q122+Q123+Q130+Q132+Q133</f>
        <v>5867274.1251711715</v>
      </c>
      <c r="R134" s="61"/>
      <c r="S134" s="61"/>
      <c r="T134" s="61">
        <f>+T109+T110+T119+T121+T122+T123+T130+T132+T133</f>
        <v>5775885.1535226814</v>
      </c>
      <c r="U134" s="61"/>
      <c r="V134" s="61"/>
      <c r="W134" s="61">
        <f>+W109+W110+W119+W121+W122+W123+W130+W132+W133</f>
        <v>3465810.471799098</v>
      </c>
      <c r="X134" s="61"/>
      <c r="Y134" s="61"/>
      <c r="Z134" s="61">
        <f>+Z109+Z110+Z119+Z121+Z122+Z123+Z130+Z132+Z133</f>
        <v>0</v>
      </c>
      <c r="AA134" s="61"/>
      <c r="AB134" s="61"/>
      <c r="AC134" s="61">
        <f>+AC109+AC110+AC119+AC121+AC122+AC123+AC130+AC132+AC133</f>
        <v>0</v>
      </c>
      <c r="AD134" s="61"/>
      <c r="AE134" s="61"/>
      <c r="AF134" s="61">
        <f>+AF109+AF110+AF119+AF121+AF122+AF123+AF130+AF132+AF133</f>
        <v>0</v>
      </c>
      <c r="AG134" s="61"/>
      <c r="AH134" s="61"/>
      <c r="AI134" s="61">
        <f>+AI109+AI110+AI119+AI121+AI122+AI123+AI130+AI132+AI133</f>
        <v>0</v>
      </c>
      <c r="AJ134" s="62"/>
      <c r="AK134" s="62"/>
      <c r="AL134" s="114">
        <f>+AL109+AL110+AL119+AL121+AL122+AL123+AL130+AL132+AL133</f>
        <v>0</v>
      </c>
    </row>
    <row r="135" spans="1:38" ht="15.75" thickBot="1" x14ac:dyDescent="0.3">
      <c r="A135" s="115" t="s">
        <v>17</v>
      </c>
      <c r="B135" s="116" t="s">
        <v>58</v>
      </c>
      <c r="C135" s="117" t="s">
        <v>55</v>
      </c>
      <c r="D135" s="118" t="s">
        <v>23</v>
      </c>
      <c r="E135" s="119">
        <f>+E134-[1]FERIYE!C581</f>
        <v>0</v>
      </c>
      <c r="F135" s="120"/>
      <c r="G135" s="120"/>
      <c r="H135" s="121">
        <f>+H134-[1]FERIYE!F581</f>
        <v>0</v>
      </c>
      <c r="I135" s="121"/>
      <c r="J135" s="121"/>
      <c r="K135" s="121">
        <f>+K134-[1]FERIYE!I581</f>
        <v>0</v>
      </c>
      <c r="L135" s="121"/>
      <c r="M135" s="121"/>
      <c r="N135" s="121">
        <f>+N134-[1]FERIYE!L581</f>
        <v>0</v>
      </c>
      <c r="O135" s="121"/>
      <c r="P135" s="121"/>
      <c r="Q135" s="121">
        <f>+Q134-[1]FERIYE!O581</f>
        <v>0</v>
      </c>
      <c r="R135" s="121"/>
      <c r="S135" s="121"/>
      <c r="T135" s="121">
        <f>+T134-[1]FERIYE!R581</f>
        <v>0</v>
      </c>
      <c r="U135" s="121"/>
      <c r="V135" s="121"/>
      <c r="W135" s="121">
        <f>+W134-[1]FERIYE!U581</f>
        <v>0</v>
      </c>
      <c r="X135" s="121"/>
      <c r="Y135" s="121"/>
      <c r="Z135" s="121">
        <f>+Z134-[1]FERIYE!X581</f>
        <v>0</v>
      </c>
      <c r="AA135" s="121"/>
      <c r="AB135" s="121"/>
      <c r="AC135" s="121">
        <f>+AC134-[1]FERIYE!AA581</f>
        <v>0</v>
      </c>
      <c r="AD135" s="121"/>
      <c r="AE135" s="121"/>
      <c r="AF135" s="121">
        <f>+AF134-[1]FERIYE!AD581</f>
        <v>0</v>
      </c>
      <c r="AG135" s="121"/>
      <c r="AH135" s="121"/>
      <c r="AI135" s="121">
        <f>+AI134-[1]FERIYE!AG581</f>
        <v>0</v>
      </c>
      <c r="AJ135" s="122"/>
      <c r="AK135" s="122"/>
      <c r="AL135" s="123">
        <f>+AL134-[1]FERIYE!AJ581</f>
        <v>0</v>
      </c>
    </row>
    <row r="136" spans="1:38" x14ac:dyDescent="0.25">
      <c r="A136" s="64" t="s">
        <v>17</v>
      </c>
      <c r="B136" s="65" t="s">
        <v>59</v>
      </c>
      <c r="C136" s="66" t="s">
        <v>19</v>
      </c>
      <c r="D136" s="67" t="s">
        <v>20</v>
      </c>
      <c r="E136" s="68">
        <f>+[1]FERIYE!C593</f>
        <v>0</v>
      </c>
      <c r="F136" s="69"/>
      <c r="G136" s="69"/>
      <c r="H136" s="70">
        <f>+[1]FERIYE!F593</f>
        <v>0</v>
      </c>
      <c r="I136" s="70"/>
      <c r="J136" s="70"/>
      <c r="K136" s="70">
        <f>+[1]FERIYE!I593</f>
        <v>0</v>
      </c>
      <c r="L136" s="70"/>
      <c r="M136" s="70"/>
      <c r="N136" s="70">
        <f>+[1]FERIYE!L593</f>
        <v>0</v>
      </c>
      <c r="O136" s="70"/>
      <c r="P136" s="70"/>
      <c r="Q136" s="70">
        <f>+[1]FERIYE!O593</f>
        <v>0</v>
      </c>
      <c r="R136" s="70"/>
      <c r="S136" s="70"/>
      <c r="T136" s="70">
        <f>+[1]FERIYE!R593</f>
        <v>0</v>
      </c>
      <c r="U136" s="70"/>
      <c r="V136" s="70"/>
      <c r="W136" s="70">
        <f>+[1]FERIYE!U593</f>
        <v>0</v>
      </c>
      <c r="X136" s="70"/>
      <c r="Y136" s="70"/>
      <c r="Z136" s="70">
        <f>+[1]FERIYE!X593</f>
        <v>0</v>
      </c>
      <c r="AA136" s="70"/>
      <c r="AB136" s="70"/>
      <c r="AC136" s="70">
        <f>+[1]FERIYE!AA593</f>
        <v>0</v>
      </c>
      <c r="AD136" s="70"/>
      <c r="AE136" s="70"/>
      <c r="AF136" s="70">
        <f>+[1]FERIYE!AD593</f>
        <v>0</v>
      </c>
      <c r="AG136" s="70"/>
      <c r="AH136" s="70"/>
      <c r="AI136" s="70">
        <f>+[1]FERIYE!AG593</f>
        <v>0</v>
      </c>
      <c r="AJ136" s="71"/>
      <c r="AK136" s="71"/>
      <c r="AL136" s="72">
        <f>+[1]FERIYE!AJ593</f>
        <v>0</v>
      </c>
    </row>
    <row r="137" spans="1:38" x14ac:dyDescent="0.25">
      <c r="A137" s="73" t="s">
        <v>17</v>
      </c>
      <c r="B137" s="6" t="s">
        <v>59</v>
      </c>
      <c r="C137" s="7" t="s">
        <v>21</v>
      </c>
      <c r="D137" s="8" t="s">
        <v>20</v>
      </c>
      <c r="E137" s="9"/>
      <c r="F137" s="10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2"/>
      <c r="AK137" s="12"/>
      <c r="AL137" s="74"/>
    </row>
    <row r="138" spans="1:38" x14ac:dyDescent="0.25">
      <c r="A138" s="73" t="s">
        <v>17</v>
      </c>
      <c r="B138" s="6" t="s">
        <v>59</v>
      </c>
      <c r="C138" s="7" t="s">
        <v>22</v>
      </c>
      <c r="D138" s="8" t="s">
        <v>23</v>
      </c>
      <c r="E138" s="13">
        <f>+[1]FERIYE!C589</f>
        <v>0</v>
      </c>
      <c r="F138" s="14"/>
      <c r="G138" s="14"/>
      <c r="H138" s="15">
        <f>+[1]FERIYE!F589</f>
        <v>0</v>
      </c>
      <c r="I138" s="14"/>
      <c r="J138" s="14"/>
      <c r="K138" s="13">
        <f>+[1]FERIYE!I589</f>
        <v>0</v>
      </c>
      <c r="L138" s="14"/>
      <c r="M138" s="14"/>
      <c r="N138" s="15">
        <f>+[1]FERIYE!L589</f>
        <v>0</v>
      </c>
      <c r="O138" s="15"/>
      <c r="P138" s="15"/>
      <c r="Q138" s="15">
        <f>+[1]FERIYE!O589</f>
        <v>0</v>
      </c>
      <c r="R138" s="15"/>
      <c r="S138" s="15"/>
      <c r="T138" s="15">
        <f>+[1]FERIYE!R589</f>
        <v>0</v>
      </c>
      <c r="U138" s="15"/>
      <c r="V138" s="15"/>
      <c r="W138" s="15">
        <f>+[1]FERIYE!U589</f>
        <v>0</v>
      </c>
      <c r="X138" s="15"/>
      <c r="Y138" s="15"/>
      <c r="Z138" s="15">
        <f>+[1]FERIYE!X589</f>
        <v>0</v>
      </c>
      <c r="AA138" s="15"/>
      <c r="AB138" s="15"/>
      <c r="AC138" s="15">
        <f>+[1]FERIYE!AA589</f>
        <v>0</v>
      </c>
      <c r="AD138" s="15"/>
      <c r="AE138" s="15"/>
      <c r="AF138" s="15">
        <f>+[1]FERIYE!AD589</f>
        <v>0</v>
      </c>
      <c r="AG138" s="15"/>
      <c r="AH138" s="15"/>
      <c r="AI138" s="15">
        <f>+[1]FERIYE!AG589</f>
        <v>0</v>
      </c>
      <c r="AJ138" s="16"/>
      <c r="AK138" s="16"/>
      <c r="AL138" s="75">
        <f>+[1]FERIYE!AJ589</f>
        <v>0</v>
      </c>
    </row>
    <row r="139" spans="1:38" x14ac:dyDescent="0.25">
      <c r="A139" s="73" t="s">
        <v>17</v>
      </c>
      <c r="B139" s="6" t="s">
        <v>59</v>
      </c>
      <c r="C139" s="7" t="s">
        <v>24</v>
      </c>
      <c r="D139" s="8" t="s">
        <v>23</v>
      </c>
      <c r="E139" s="13">
        <f>+[1]FERIYE!C590</f>
        <v>0</v>
      </c>
      <c r="F139" s="17"/>
      <c r="G139" s="17"/>
      <c r="H139" s="18">
        <f>+[1]FERIYE!F590</f>
        <v>0</v>
      </c>
      <c r="I139" s="18"/>
      <c r="J139" s="18"/>
      <c r="K139" s="18">
        <f>+[1]FERIYE!I590</f>
        <v>0</v>
      </c>
      <c r="L139" s="18"/>
      <c r="M139" s="18"/>
      <c r="N139" s="18">
        <f>+[1]FERIYE!L590</f>
        <v>0</v>
      </c>
      <c r="O139" s="18"/>
      <c r="P139" s="18"/>
      <c r="Q139" s="18">
        <f>+[1]FERIYE!O590</f>
        <v>0</v>
      </c>
      <c r="R139" s="18"/>
      <c r="S139" s="18"/>
      <c r="T139" s="18">
        <f>+[1]FERIYE!R590</f>
        <v>0</v>
      </c>
      <c r="U139" s="18"/>
      <c r="V139" s="18"/>
      <c r="W139" s="18">
        <f>+[1]FERIYE!U590</f>
        <v>0</v>
      </c>
      <c r="X139" s="18"/>
      <c r="Y139" s="18"/>
      <c r="Z139" s="18">
        <f>+[1]FERIYE!X590</f>
        <v>0</v>
      </c>
      <c r="AA139" s="18"/>
      <c r="AB139" s="18"/>
      <c r="AC139" s="18">
        <f>+[1]FERIYE!AA590</f>
        <v>0</v>
      </c>
      <c r="AD139" s="18"/>
      <c r="AE139" s="18"/>
      <c r="AF139" s="18">
        <f>+[1]FERIYE!AD590</f>
        <v>0</v>
      </c>
      <c r="AG139" s="18"/>
      <c r="AH139" s="18"/>
      <c r="AI139" s="18">
        <f>+[1]FERIYE!AG590</f>
        <v>0</v>
      </c>
      <c r="AJ139" s="19"/>
      <c r="AK139" s="19"/>
      <c r="AL139" s="76">
        <f>+[1]FERIYE!AJ590</f>
        <v>0</v>
      </c>
    </row>
    <row r="140" spans="1:38" x14ac:dyDescent="0.25">
      <c r="A140" s="73" t="s">
        <v>17</v>
      </c>
      <c r="B140" s="6" t="s">
        <v>59</v>
      </c>
      <c r="C140" s="7" t="s">
        <v>25</v>
      </c>
      <c r="D140" s="8" t="s">
        <v>23</v>
      </c>
      <c r="E140" s="20">
        <f>+[1]FERIYE!C591</f>
        <v>220015.75999999998</v>
      </c>
      <c r="F140" s="21"/>
      <c r="G140" s="21"/>
      <c r="H140" s="22">
        <f>+[1]FERIYE!F591</f>
        <v>200874.02000000002</v>
      </c>
      <c r="I140" s="22"/>
      <c r="J140" s="22"/>
      <c r="K140" s="22">
        <f>+[1]FERIYE!I591</f>
        <v>441507.12</v>
      </c>
      <c r="L140" s="22"/>
      <c r="M140" s="22"/>
      <c r="N140" s="22">
        <f>+[1]FERIYE!L591</f>
        <v>1028603.5299999999</v>
      </c>
      <c r="O140" s="22"/>
      <c r="P140" s="22"/>
      <c r="Q140" s="22">
        <f>+[1]FERIYE!O591</f>
        <v>249725.97999999998</v>
      </c>
      <c r="R140" s="22"/>
      <c r="S140" s="22"/>
      <c r="T140" s="22">
        <f>+[1]FERIYE!R591</f>
        <v>447454.02</v>
      </c>
      <c r="U140" s="22"/>
      <c r="V140" s="22"/>
      <c r="W140" s="22">
        <f>+[1]FERIYE!U591</f>
        <v>301730.44</v>
      </c>
      <c r="X140" s="22"/>
      <c r="Y140" s="22"/>
      <c r="Z140" s="22">
        <f>+[1]FERIYE!X591</f>
        <v>0</v>
      </c>
      <c r="AA140" s="22"/>
      <c r="AB140" s="22"/>
      <c r="AC140" s="22">
        <f>+[1]FERIYE!AA591</f>
        <v>0</v>
      </c>
      <c r="AD140" s="22"/>
      <c r="AE140" s="22"/>
      <c r="AF140" s="22">
        <f>+[1]FERIYE!AD591</f>
        <v>0</v>
      </c>
      <c r="AG140" s="22"/>
      <c r="AH140" s="22"/>
      <c r="AI140" s="22">
        <f>+[1]FERIYE!AG591</f>
        <v>0</v>
      </c>
      <c r="AJ140" s="23"/>
      <c r="AK140" s="23"/>
      <c r="AL140" s="77">
        <f>+[1]FERIYE!AJ591</f>
        <v>0</v>
      </c>
    </row>
    <row r="141" spans="1:38" x14ac:dyDescent="0.25">
      <c r="A141" s="73" t="s">
        <v>17</v>
      </c>
      <c r="B141" s="6" t="s">
        <v>59</v>
      </c>
      <c r="C141" s="7" t="s">
        <v>26</v>
      </c>
      <c r="D141" s="8" t="s">
        <v>23</v>
      </c>
      <c r="E141" s="24">
        <f>+[1]FERIYE!C613</f>
        <v>0</v>
      </c>
      <c r="F141" s="25"/>
      <c r="G141" s="25"/>
      <c r="H141" s="26">
        <f>+[1]FERIYE!F613</f>
        <v>0</v>
      </c>
      <c r="I141" s="26"/>
      <c r="J141" s="26"/>
      <c r="K141" s="26">
        <f>+[1]FERIYE!I613</f>
        <v>0</v>
      </c>
      <c r="L141" s="26"/>
      <c r="M141" s="26"/>
      <c r="N141" s="26">
        <f>+[1]FERIYE!L613</f>
        <v>0</v>
      </c>
      <c r="O141" s="26"/>
      <c r="P141" s="26"/>
      <c r="Q141" s="26">
        <f>+[1]FERIYE!O613</f>
        <v>0</v>
      </c>
      <c r="R141" s="26"/>
      <c r="S141" s="26"/>
      <c r="T141" s="26">
        <f>+[1]FERIYE!R613</f>
        <v>0</v>
      </c>
      <c r="U141" s="26"/>
      <c r="V141" s="26"/>
      <c r="W141" s="26">
        <f>+[1]FERIYE!U613</f>
        <v>0</v>
      </c>
      <c r="X141" s="26"/>
      <c r="Y141" s="26"/>
      <c r="Z141" s="26">
        <f>+[1]FERIYE!X613</f>
        <v>0</v>
      </c>
      <c r="AA141" s="26"/>
      <c r="AB141" s="26"/>
      <c r="AC141" s="26">
        <f>+[1]FERIYE!AA613</f>
        <v>0</v>
      </c>
      <c r="AD141" s="26"/>
      <c r="AE141" s="26"/>
      <c r="AF141" s="26">
        <f>+[1]FERIYE!AD613</f>
        <v>0</v>
      </c>
      <c r="AG141" s="26"/>
      <c r="AH141" s="26"/>
      <c r="AI141" s="26">
        <f>+[1]FERIYE!AG613</f>
        <v>0</v>
      </c>
      <c r="AJ141" s="27"/>
      <c r="AK141" s="27"/>
      <c r="AL141" s="78">
        <f>+[1]FERIYE!AJ613</f>
        <v>0</v>
      </c>
    </row>
    <row r="142" spans="1:38" x14ac:dyDescent="0.25">
      <c r="A142" s="73" t="s">
        <v>17</v>
      </c>
      <c r="B142" s="6" t="s">
        <v>59</v>
      </c>
      <c r="C142" s="7" t="s">
        <v>27</v>
      </c>
      <c r="D142" s="8" t="s">
        <v>23</v>
      </c>
      <c r="E142" s="28">
        <f>+[1]FERIYE!C614</f>
        <v>0</v>
      </c>
      <c r="F142" s="29"/>
      <c r="G142" s="29"/>
      <c r="H142" s="30">
        <f>+[1]FERIYE!F614</f>
        <v>0</v>
      </c>
      <c r="I142" s="30"/>
      <c r="J142" s="30"/>
      <c r="K142" s="30">
        <f>+[1]FERIYE!I614</f>
        <v>0</v>
      </c>
      <c r="L142" s="30"/>
      <c r="M142" s="30"/>
      <c r="N142" s="30">
        <f>+[1]FERIYE!L614</f>
        <v>0</v>
      </c>
      <c r="O142" s="30"/>
      <c r="P142" s="30"/>
      <c r="Q142" s="30">
        <f>+[1]FERIYE!O614</f>
        <v>0</v>
      </c>
      <c r="R142" s="30"/>
      <c r="S142" s="30"/>
      <c r="T142" s="30">
        <f>+[1]FERIYE!R614</f>
        <v>0</v>
      </c>
      <c r="U142" s="30"/>
      <c r="V142" s="30"/>
      <c r="W142" s="30">
        <f>+[1]FERIYE!U614</f>
        <v>0</v>
      </c>
      <c r="X142" s="30"/>
      <c r="Y142" s="30"/>
      <c r="Z142" s="30">
        <f>+[1]FERIYE!X614</f>
        <v>0</v>
      </c>
      <c r="AA142" s="30"/>
      <c r="AB142" s="30"/>
      <c r="AC142" s="30">
        <f>+[1]FERIYE!AA614</f>
        <v>0</v>
      </c>
      <c r="AD142" s="30"/>
      <c r="AE142" s="30"/>
      <c r="AF142" s="30">
        <f>+[1]FERIYE!AD614</f>
        <v>0</v>
      </c>
      <c r="AG142" s="30"/>
      <c r="AH142" s="30"/>
      <c r="AI142" s="30">
        <f>+[1]FERIYE!AG614</f>
        <v>0</v>
      </c>
      <c r="AJ142" s="31"/>
      <c r="AK142" s="31"/>
      <c r="AL142" s="79">
        <f>+[1]FERIYE!AJ614</f>
        <v>0</v>
      </c>
    </row>
    <row r="143" spans="1:38" x14ac:dyDescent="0.25">
      <c r="A143" s="73" t="s">
        <v>17</v>
      </c>
      <c r="B143" s="6" t="s">
        <v>59</v>
      </c>
      <c r="C143" s="7" t="s">
        <v>28</v>
      </c>
      <c r="D143" s="8" t="s">
        <v>29</v>
      </c>
      <c r="E143" s="124">
        <f>+[1]FERIYE!C597</f>
        <v>0</v>
      </c>
      <c r="F143" s="125"/>
      <c r="G143" s="125"/>
      <c r="H143" s="126">
        <f>+[1]FERIYE!F597</f>
        <v>0</v>
      </c>
      <c r="I143" s="126"/>
      <c r="J143" s="126"/>
      <c r="K143" s="126">
        <f>+[1]FERIYE!I597</f>
        <v>0</v>
      </c>
      <c r="L143" s="126"/>
      <c r="M143" s="126"/>
      <c r="N143" s="126">
        <f>+[1]FERIYE!L597</f>
        <v>0</v>
      </c>
      <c r="O143" s="126"/>
      <c r="P143" s="126"/>
      <c r="Q143" s="126">
        <f>+[1]FERIYE!O597</f>
        <v>0</v>
      </c>
      <c r="R143" s="126"/>
      <c r="S143" s="126"/>
      <c r="T143" s="126">
        <f>+[1]FERIYE!R597</f>
        <v>0</v>
      </c>
      <c r="U143" s="126"/>
      <c r="V143" s="126"/>
      <c r="W143" s="126">
        <f>+[1]FERIYE!U597</f>
        <v>0</v>
      </c>
      <c r="X143" s="126"/>
      <c r="Y143" s="126"/>
      <c r="Z143" s="126">
        <f>+[1]FERIYE!X597</f>
        <v>0</v>
      </c>
      <c r="AA143" s="126"/>
      <c r="AB143" s="126"/>
      <c r="AC143" s="126">
        <f>+[1]FERIYE!AA597</f>
        <v>0</v>
      </c>
      <c r="AD143" s="126"/>
      <c r="AE143" s="126"/>
      <c r="AF143" s="126">
        <f>+[1]FERIYE!AD597</f>
        <v>0</v>
      </c>
      <c r="AG143" s="126"/>
      <c r="AH143" s="126"/>
      <c r="AI143" s="126">
        <f>+[1]FERIYE!AG597</f>
        <v>0</v>
      </c>
      <c r="AJ143" s="127"/>
      <c r="AK143" s="127"/>
      <c r="AL143" s="128">
        <f>+[1]FERIYE!AJ597</f>
        <v>0</v>
      </c>
    </row>
    <row r="144" spans="1:38" x14ac:dyDescent="0.25">
      <c r="A144" s="85" t="s">
        <v>17</v>
      </c>
      <c r="B144" s="32" t="s">
        <v>59</v>
      </c>
      <c r="C144" s="33" t="s">
        <v>30</v>
      </c>
      <c r="D144" s="34" t="s">
        <v>29</v>
      </c>
      <c r="E144" s="129">
        <f>+[1]FERIYE!C598</f>
        <v>0</v>
      </c>
      <c r="F144" s="130"/>
      <c r="G144" s="130"/>
      <c r="H144" s="131">
        <f>+[1]FERIYE!F598</f>
        <v>0</v>
      </c>
      <c r="I144" s="131"/>
      <c r="J144" s="131"/>
      <c r="K144" s="131">
        <f>+[1]FERIYE!I598</f>
        <v>0</v>
      </c>
      <c r="L144" s="131"/>
      <c r="M144" s="131"/>
      <c r="N144" s="131">
        <f>+[1]FERIYE!L598</f>
        <v>0</v>
      </c>
      <c r="O144" s="131"/>
      <c r="P144" s="131"/>
      <c r="Q144" s="131">
        <f>+[1]FERIYE!O598</f>
        <v>0</v>
      </c>
      <c r="R144" s="131"/>
      <c r="S144" s="131"/>
      <c r="T144" s="131">
        <f>+[1]FERIYE!R598</f>
        <v>0</v>
      </c>
      <c r="U144" s="131"/>
      <c r="V144" s="131"/>
      <c r="W144" s="131">
        <f>+[1]FERIYE!U598</f>
        <v>0</v>
      </c>
      <c r="X144" s="131"/>
      <c r="Y144" s="131"/>
      <c r="Z144" s="131">
        <f>+[1]FERIYE!X598</f>
        <v>0</v>
      </c>
      <c r="AA144" s="131"/>
      <c r="AB144" s="131"/>
      <c r="AC144" s="131">
        <f>+[1]FERIYE!AA598</f>
        <v>0</v>
      </c>
      <c r="AD144" s="131"/>
      <c r="AE144" s="131"/>
      <c r="AF144" s="131">
        <f>+[1]FERIYE!AD598</f>
        <v>0</v>
      </c>
      <c r="AG144" s="131"/>
      <c r="AH144" s="131"/>
      <c r="AI144" s="131">
        <f>+[1]FERIYE!AG598</f>
        <v>0</v>
      </c>
      <c r="AJ144" s="132"/>
      <c r="AK144" s="132"/>
      <c r="AL144" s="133">
        <f>+[1]FERIYE!AJ598</f>
        <v>0</v>
      </c>
    </row>
    <row r="145" spans="1:38" x14ac:dyDescent="0.25">
      <c r="A145" s="85" t="s">
        <v>17</v>
      </c>
      <c r="B145" s="32" t="s">
        <v>59</v>
      </c>
      <c r="C145" s="33" t="s">
        <v>31</v>
      </c>
      <c r="D145" s="34" t="s">
        <v>29</v>
      </c>
      <c r="E145" s="129">
        <f>+[1]FERIYE!C599</f>
        <v>0</v>
      </c>
      <c r="F145" s="130"/>
      <c r="G145" s="130"/>
      <c r="H145" s="131">
        <f>+[1]FERIYE!F599</f>
        <v>0</v>
      </c>
      <c r="I145" s="131"/>
      <c r="J145" s="131"/>
      <c r="K145" s="131">
        <f>+[1]FERIYE!I599</f>
        <v>0</v>
      </c>
      <c r="L145" s="131"/>
      <c r="M145" s="131"/>
      <c r="N145" s="131">
        <f>+[1]FERIYE!L599</f>
        <v>0</v>
      </c>
      <c r="O145" s="131"/>
      <c r="P145" s="131"/>
      <c r="Q145" s="131">
        <f>+[1]FERIYE!O599</f>
        <v>0</v>
      </c>
      <c r="R145" s="131"/>
      <c r="S145" s="131"/>
      <c r="T145" s="131">
        <f>+[1]FERIYE!R599</f>
        <v>0</v>
      </c>
      <c r="U145" s="131"/>
      <c r="V145" s="131"/>
      <c r="W145" s="131">
        <f>+[1]FERIYE!U599</f>
        <v>0</v>
      </c>
      <c r="X145" s="131"/>
      <c r="Y145" s="131"/>
      <c r="Z145" s="131">
        <f>+[1]FERIYE!X599</f>
        <v>0</v>
      </c>
      <c r="AA145" s="131"/>
      <c r="AB145" s="131"/>
      <c r="AC145" s="131">
        <f>+[1]FERIYE!AA599</f>
        <v>0</v>
      </c>
      <c r="AD145" s="131"/>
      <c r="AE145" s="131"/>
      <c r="AF145" s="131">
        <f>+[1]FERIYE!AD599</f>
        <v>0</v>
      </c>
      <c r="AG145" s="131"/>
      <c r="AH145" s="131"/>
      <c r="AI145" s="131">
        <f>+[1]FERIYE!AG599</f>
        <v>0</v>
      </c>
      <c r="AJ145" s="132"/>
      <c r="AK145" s="132"/>
      <c r="AL145" s="133">
        <f>+[1]FERIYE!AJ599</f>
        <v>0</v>
      </c>
    </row>
    <row r="146" spans="1:38" x14ac:dyDescent="0.25">
      <c r="A146" s="85" t="s">
        <v>17</v>
      </c>
      <c r="B146" s="32" t="s">
        <v>59</v>
      </c>
      <c r="C146" s="33" t="s">
        <v>32</v>
      </c>
      <c r="D146" s="34" t="s">
        <v>29</v>
      </c>
      <c r="E146" s="129">
        <f>+[1]FERIYE!C600</f>
        <v>0</v>
      </c>
      <c r="F146" s="130"/>
      <c r="G146" s="130"/>
      <c r="H146" s="131">
        <f>+[1]FERIYE!F600</f>
        <v>0</v>
      </c>
      <c r="I146" s="131"/>
      <c r="J146" s="131"/>
      <c r="K146" s="131">
        <f>+[1]FERIYE!I600</f>
        <v>0</v>
      </c>
      <c r="L146" s="131"/>
      <c r="M146" s="131"/>
      <c r="N146" s="131">
        <f>+[1]FERIYE!L600</f>
        <v>0</v>
      </c>
      <c r="O146" s="131"/>
      <c r="P146" s="131"/>
      <c r="Q146" s="131">
        <f>+[1]FERIYE!O600</f>
        <v>0</v>
      </c>
      <c r="R146" s="131"/>
      <c r="S146" s="131"/>
      <c r="T146" s="131">
        <f>+[1]FERIYE!R600</f>
        <v>0</v>
      </c>
      <c r="U146" s="131"/>
      <c r="V146" s="131"/>
      <c r="W146" s="131">
        <f>+[1]FERIYE!U600</f>
        <v>0</v>
      </c>
      <c r="X146" s="131"/>
      <c r="Y146" s="131"/>
      <c r="Z146" s="131">
        <f>+[1]FERIYE!X600</f>
        <v>0</v>
      </c>
      <c r="AA146" s="131"/>
      <c r="AB146" s="131"/>
      <c r="AC146" s="131">
        <f>+[1]FERIYE!AA600</f>
        <v>0</v>
      </c>
      <c r="AD146" s="131"/>
      <c r="AE146" s="131"/>
      <c r="AF146" s="131">
        <f>+[1]FERIYE!AD600</f>
        <v>0</v>
      </c>
      <c r="AG146" s="131"/>
      <c r="AH146" s="131"/>
      <c r="AI146" s="131">
        <f>+[1]FERIYE!AG600</f>
        <v>0</v>
      </c>
      <c r="AJ146" s="132"/>
      <c r="AK146" s="132"/>
      <c r="AL146" s="133">
        <f>+[1]FERIYE!AJ600</f>
        <v>0</v>
      </c>
    </row>
    <row r="147" spans="1:38" x14ac:dyDescent="0.25">
      <c r="A147" s="85" t="s">
        <v>17</v>
      </c>
      <c r="B147" s="32" t="s">
        <v>59</v>
      </c>
      <c r="C147" s="33" t="s">
        <v>33</v>
      </c>
      <c r="D147" s="34" t="s">
        <v>29</v>
      </c>
      <c r="E147" s="129">
        <f>SUM(E143:E146)</f>
        <v>0</v>
      </c>
      <c r="F147" s="130"/>
      <c r="G147" s="130"/>
      <c r="H147" s="129">
        <f>SUM(H143:H146)</f>
        <v>0</v>
      </c>
      <c r="I147" s="131"/>
      <c r="J147" s="131"/>
      <c r="K147" s="129">
        <f>SUM(K143:K146)</f>
        <v>0</v>
      </c>
      <c r="L147" s="131"/>
      <c r="M147" s="131"/>
      <c r="N147" s="129">
        <f>SUM(N143:N146)</f>
        <v>0</v>
      </c>
      <c r="O147" s="131"/>
      <c r="P147" s="131"/>
      <c r="Q147" s="129">
        <f>SUM(Q143:Q146)</f>
        <v>0</v>
      </c>
      <c r="R147" s="131"/>
      <c r="S147" s="131"/>
      <c r="T147" s="129">
        <f>SUM(T143:T146)</f>
        <v>0</v>
      </c>
      <c r="U147" s="131"/>
      <c r="V147" s="131"/>
      <c r="W147" s="129">
        <f>SUM(W143:W146)</f>
        <v>0</v>
      </c>
      <c r="X147" s="131"/>
      <c r="Y147" s="131"/>
      <c r="Z147" s="129">
        <f>SUM(Z143:Z146)</f>
        <v>0</v>
      </c>
      <c r="AA147" s="131"/>
      <c r="AB147" s="131"/>
      <c r="AC147" s="129">
        <f>SUM(AC143:AC146)</f>
        <v>0</v>
      </c>
      <c r="AD147" s="131"/>
      <c r="AE147" s="131"/>
      <c r="AF147" s="129">
        <f>SUM(AF143:AF146)</f>
        <v>0</v>
      </c>
      <c r="AG147" s="131"/>
      <c r="AH147" s="131"/>
      <c r="AI147" s="129">
        <f>SUM(AI143:AI146)</f>
        <v>0</v>
      </c>
      <c r="AJ147" s="132"/>
      <c r="AK147" s="132"/>
      <c r="AL147" s="134">
        <f>SUM(AL143:AL146)</f>
        <v>0</v>
      </c>
    </row>
    <row r="148" spans="1:38" x14ac:dyDescent="0.25">
      <c r="A148" s="85" t="s">
        <v>17</v>
      </c>
      <c r="B148" s="32" t="s">
        <v>59</v>
      </c>
      <c r="C148" s="33" t="s">
        <v>34</v>
      </c>
      <c r="D148" s="34" t="s">
        <v>23</v>
      </c>
      <c r="E148" s="35">
        <f>+[1]FERIYE!C604+[1]FERIYE!C605+[1]FERIYE!C606+[1]FERIYE!C607</f>
        <v>0</v>
      </c>
      <c r="F148" s="36"/>
      <c r="G148" s="36"/>
      <c r="H148" s="35">
        <f>+[1]FERIYE!F604+[1]FERIYE!F605+[1]FERIYE!F606+[1]FERIYE!F607</f>
        <v>0</v>
      </c>
      <c r="I148" s="18"/>
      <c r="J148" s="18"/>
      <c r="K148" s="35">
        <f>+[1]FERIYE!I604+[1]FERIYE!I605+[1]FERIYE!I606+[1]FERIYE!I607</f>
        <v>113340.95</v>
      </c>
      <c r="L148" s="18"/>
      <c r="M148" s="18"/>
      <c r="N148" s="35">
        <f>+[1]FERIYE!L604+[1]FERIYE!L605+[1]FERIYE!L606+[1]FERIYE!L607</f>
        <v>149048.34</v>
      </c>
      <c r="O148" s="18"/>
      <c r="P148" s="18"/>
      <c r="Q148" s="35">
        <f>+[1]FERIYE!O604+[1]FERIYE!O605+[1]FERIYE!O606+[1]FERIYE!O607</f>
        <v>161193.20000000001</v>
      </c>
      <c r="R148" s="18"/>
      <c r="S148" s="18"/>
      <c r="T148" s="35">
        <f>+[1]FERIYE!R604+[1]FERIYE!R605+[1]FERIYE!R606+[1]FERIYE!R607</f>
        <v>159790.09</v>
      </c>
      <c r="U148" s="18"/>
      <c r="V148" s="18"/>
      <c r="W148" s="35">
        <f>+[1]FERIYE!U604+[1]FERIYE!U605+[1]FERIYE!U606+[1]FERIYE!U607</f>
        <v>165611.16999999998</v>
      </c>
      <c r="X148" s="18"/>
      <c r="Y148" s="18"/>
      <c r="Z148" s="35">
        <f>+[1]FERIYE!X604+[1]FERIYE!X605+[1]FERIYE!X606+[1]FERIYE!X607</f>
        <v>0</v>
      </c>
      <c r="AA148" s="18"/>
      <c r="AB148" s="18"/>
      <c r="AC148" s="35">
        <f>+[1]FERIYE!AA604+[1]FERIYE!AA605+[1]FERIYE!AA606+[1]FERIYE!AA607</f>
        <v>0</v>
      </c>
      <c r="AD148" s="18"/>
      <c r="AE148" s="18"/>
      <c r="AF148" s="35">
        <f>+[1]FERIYE!AD604+[1]FERIYE!AD605+[1]FERIYE!AD606+[1]FERIYE!AD607</f>
        <v>0</v>
      </c>
      <c r="AG148" s="18"/>
      <c r="AH148" s="18"/>
      <c r="AI148" s="35">
        <f>+[1]FERIYE!AG604+[1]FERIYE!AG605+[1]FERIYE!AG606+[1]FERIYE!AG607</f>
        <v>0</v>
      </c>
      <c r="AJ148" s="19"/>
      <c r="AK148" s="19"/>
      <c r="AL148" s="92">
        <f>+[1]FERIYE!AJ604+[1]FERIYE!AJ605+[1]FERIYE!AJ606+[1]FERIYE!AJ607</f>
        <v>0</v>
      </c>
    </row>
    <row r="149" spans="1:38" x14ac:dyDescent="0.25">
      <c r="A149" s="85" t="s">
        <v>17</v>
      </c>
      <c r="B149" s="32" t="s">
        <v>59</v>
      </c>
      <c r="C149" s="33" t="s">
        <v>35</v>
      </c>
      <c r="D149" s="34" t="s">
        <v>23</v>
      </c>
      <c r="E149" s="35">
        <f>+[1]FERIYE!C608</f>
        <v>0</v>
      </c>
      <c r="F149" s="36"/>
      <c r="G149" s="36"/>
      <c r="H149" s="35">
        <f>+[1]FERIYE!F608</f>
        <v>0</v>
      </c>
      <c r="I149" s="18"/>
      <c r="J149" s="18"/>
      <c r="K149" s="35">
        <f>+[1]FERIYE!I608</f>
        <v>40000</v>
      </c>
      <c r="L149" s="18"/>
      <c r="M149" s="18"/>
      <c r="N149" s="35">
        <f>+[1]FERIYE!L608</f>
        <v>0</v>
      </c>
      <c r="O149" s="18"/>
      <c r="P149" s="18"/>
      <c r="Q149" s="35">
        <f>+[1]FERIYE!O608</f>
        <v>0</v>
      </c>
      <c r="R149" s="18"/>
      <c r="S149" s="18"/>
      <c r="T149" s="35">
        <f>+[1]FERIYE!R608</f>
        <v>0</v>
      </c>
      <c r="U149" s="18"/>
      <c r="V149" s="18"/>
      <c r="W149" s="35">
        <f>+[1]FERIYE!U608</f>
        <v>0</v>
      </c>
      <c r="X149" s="18"/>
      <c r="Y149" s="18"/>
      <c r="Z149" s="35">
        <f>+[1]FERIYE!X608</f>
        <v>0</v>
      </c>
      <c r="AA149" s="18"/>
      <c r="AB149" s="18"/>
      <c r="AC149" s="35">
        <f>+[1]FERIYE!AA608</f>
        <v>0</v>
      </c>
      <c r="AD149" s="18"/>
      <c r="AE149" s="18"/>
      <c r="AF149" s="35">
        <f>+[1]FERIYE!AD608</f>
        <v>0</v>
      </c>
      <c r="AG149" s="18"/>
      <c r="AH149" s="18"/>
      <c r="AI149" s="35">
        <f>+[1]FERIYE!AG608</f>
        <v>0</v>
      </c>
      <c r="AJ149" s="19"/>
      <c r="AK149" s="19"/>
      <c r="AL149" s="92">
        <f>+[1]FERIYE!AJ608</f>
        <v>0</v>
      </c>
    </row>
    <row r="150" spans="1:38" x14ac:dyDescent="0.25">
      <c r="A150" s="85" t="s">
        <v>17</v>
      </c>
      <c r="B150" s="32" t="s">
        <v>59</v>
      </c>
      <c r="C150" s="33" t="s">
        <v>36</v>
      </c>
      <c r="D150" s="34" t="s">
        <v>23</v>
      </c>
      <c r="E150" s="35">
        <f>+[1]FERIYE!C609</f>
        <v>0</v>
      </c>
      <c r="F150" s="36"/>
      <c r="G150" s="36"/>
      <c r="H150" s="35">
        <f>+[1]FERIYE!F609</f>
        <v>0</v>
      </c>
      <c r="I150" s="18"/>
      <c r="J150" s="18"/>
      <c r="K150" s="35">
        <f>+[1]FERIYE!I609</f>
        <v>0</v>
      </c>
      <c r="L150" s="18"/>
      <c r="M150" s="18"/>
      <c r="N150" s="35">
        <f>+[1]FERIYE!L609</f>
        <v>0</v>
      </c>
      <c r="O150" s="18"/>
      <c r="P150" s="18"/>
      <c r="Q150" s="35">
        <f>+[1]FERIYE!O609</f>
        <v>0</v>
      </c>
      <c r="R150" s="18"/>
      <c r="S150" s="18"/>
      <c r="T150" s="35">
        <f>+[1]FERIYE!R609</f>
        <v>0</v>
      </c>
      <c r="U150" s="18"/>
      <c r="V150" s="18"/>
      <c r="W150" s="35">
        <f>+[1]FERIYE!U609</f>
        <v>0</v>
      </c>
      <c r="X150" s="18"/>
      <c r="Y150" s="18"/>
      <c r="Z150" s="35">
        <f>+[1]FERIYE!X609</f>
        <v>0</v>
      </c>
      <c r="AA150" s="18"/>
      <c r="AB150" s="18"/>
      <c r="AC150" s="35">
        <f>+[1]FERIYE!AA609</f>
        <v>0</v>
      </c>
      <c r="AD150" s="18"/>
      <c r="AE150" s="18"/>
      <c r="AF150" s="35">
        <f>+[1]FERIYE!AD609</f>
        <v>0</v>
      </c>
      <c r="AG150" s="18"/>
      <c r="AH150" s="18"/>
      <c r="AI150" s="35">
        <f>+[1]FERIYE!AG609</f>
        <v>0</v>
      </c>
      <c r="AJ150" s="19"/>
      <c r="AK150" s="19"/>
      <c r="AL150" s="92">
        <f>+[1]FERIYE!AJ609</f>
        <v>0</v>
      </c>
    </row>
    <row r="151" spans="1:38" x14ac:dyDescent="0.25">
      <c r="A151" s="85" t="s">
        <v>17</v>
      </c>
      <c r="B151" s="32" t="s">
        <v>59</v>
      </c>
      <c r="C151" s="33" t="s">
        <v>37</v>
      </c>
      <c r="D151" s="34" t="s">
        <v>23</v>
      </c>
      <c r="E151" s="37">
        <f>SUM(E148:E150)</f>
        <v>0</v>
      </c>
      <c r="F151" s="38"/>
      <c r="G151" s="38"/>
      <c r="H151" s="37">
        <f>SUM(H148:H150)</f>
        <v>0</v>
      </c>
      <c r="I151" s="39"/>
      <c r="J151" s="39"/>
      <c r="K151" s="37">
        <f>SUM(K148:K150)</f>
        <v>153340.95000000001</v>
      </c>
      <c r="L151" s="39"/>
      <c r="M151" s="39"/>
      <c r="N151" s="37">
        <f>SUM(N148:N150)</f>
        <v>149048.34</v>
      </c>
      <c r="O151" s="39"/>
      <c r="P151" s="39"/>
      <c r="Q151" s="37">
        <f>SUM(Q148:Q150)</f>
        <v>161193.20000000001</v>
      </c>
      <c r="R151" s="39"/>
      <c r="S151" s="39"/>
      <c r="T151" s="37">
        <f>SUM(T148:T150)</f>
        <v>159790.09</v>
      </c>
      <c r="U151" s="39"/>
      <c r="V151" s="39"/>
      <c r="W151" s="37">
        <f>SUM(W148:W150)</f>
        <v>165611.16999999998</v>
      </c>
      <c r="X151" s="39"/>
      <c r="Y151" s="39"/>
      <c r="Z151" s="37">
        <f>SUM(Z148:Z150)</f>
        <v>0</v>
      </c>
      <c r="AA151" s="39"/>
      <c r="AB151" s="39"/>
      <c r="AC151" s="37">
        <f>SUM(AC148:AC150)</f>
        <v>0</v>
      </c>
      <c r="AD151" s="39"/>
      <c r="AE151" s="39"/>
      <c r="AF151" s="37">
        <f>SUM(AF148:AF150)</f>
        <v>0</v>
      </c>
      <c r="AG151" s="39"/>
      <c r="AH151" s="39"/>
      <c r="AI151" s="37">
        <f>SUM(AI148:AI150)</f>
        <v>0</v>
      </c>
      <c r="AJ151" s="40"/>
      <c r="AK151" s="40"/>
      <c r="AL151" s="93">
        <f>SUM(AL148:AL150)</f>
        <v>0</v>
      </c>
    </row>
    <row r="152" spans="1:38" x14ac:dyDescent="0.25">
      <c r="A152" s="73" t="s">
        <v>17</v>
      </c>
      <c r="B152" s="6" t="s">
        <v>59</v>
      </c>
      <c r="C152" s="7" t="s">
        <v>38</v>
      </c>
      <c r="D152" s="8" t="s">
        <v>23</v>
      </c>
      <c r="E152" s="28">
        <f>IFERROR(E151/E147,0)</f>
        <v>0</v>
      </c>
      <c r="F152" s="29"/>
      <c r="G152" s="29"/>
      <c r="H152" s="28">
        <f>IFERROR(H151/H147,0)</f>
        <v>0</v>
      </c>
      <c r="I152" s="30"/>
      <c r="J152" s="30"/>
      <c r="K152" s="28">
        <f>IFERROR(K151/K147,0)</f>
        <v>0</v>
      </c>
      <c r="L152" s="30"/>
      <c r="M152" s="30"/>
      <c r="N152" s="28">
        <f>IFERROR(N151/N147,0)</f>
        <v>0</v>
      </c>
      <c r="O152" s="30"/>
      <c r="P152" s="30"/>
      <c r="Q152" s="28">
        <f>IFERROR(Q151/Q147,0)</f>
        <v>0</v>
      </c>
      <c r="R152" s="30"/>
      <c r="S152" s="30"/>
      <c r="T152" s="28">
        <f>IFERROR(T151/T147,0)</f>
        <v>0</v>
      </c>
      <c r="U152" s="30"/>
      <c r="V152" s="30"/>
      <c r="W152" s="28">
        <f>IFERROR(W151/W147,0)</f>
        <v>0</v>
      </c>
      <c r="X152" s="30"/>
      <c r="Y152" s="30"/>
      <c r="Z152" s="28">
        <f>IFERROR(Z151/Z147,0)</f>
        <v>0</v>
      </c>
      <c r="AA152" s="30"/>
      <c r="AB152" s="30"/>
      <c r="AC152" s="28">
        <f>IFERROR(AC151/AC147,0)</f>
        <v>0</v>
      </c>
      <c r="AD152" s="30"/>
      <c r="AE152" s="30"/>
      <c r="AF152" s="28">
        <f>IFERROR(AF151/AF147,0)</f>
        <v>0</v>
      </c>
      <c r="AG152" s="30"/>
      <c r="AH152" s="30"/>
      <c r="AI152" s="28">
        <f>IFERROR(AI151/AI147,0)</f>
        <v>0</v>
      </c>
      <c r="AJ152" s="31"/>
      <c r="AK152" s="31"/>
      <c r="AL152" s="94">
        <f>IFERROR(AL151/AL147,0)</f>
        <v>0</v>
      </c>
    </row>
    <row r="153" spans="1:38" x14ac:dyDescent="0.25">
      <c r="A153" s="73" t="s">
        <v>17</v>
      </c>
      <c r="B153" s="6" t="s">
        <v>59</v>
      </c>
      <c r="C153" s="7" t="s">
        <v>39</v>
      </c>
      <c r="D153" s="8" t="s">
        <v>23</v>
      </c>
      <c r="E153" s="41">
        <f>+[1]FERIYE!C633</f>
        <v>0</v>
      </c>
      <c r="F153" s="42"/>
      <c r="G153" s="42"/>
      <c r="H153" s="43">
        <f>+[1]FERIYE!F633</f>
        <v>0</v>
      </c>
      <c r="I153" s="43"/>
      <c r="J153" s="43"/>
      <c r="K153" s="43">
        <f>+[1]FERIYE!I633</f>
        <v>0</v>
      </c>
      <c r="L153" s="43"/>
      <c r="M153" s="43"/>
      <c r="N153" s="43">
        <f>+[1]FERIYE!L633</f>
        <v>0</v>
      </c>
      <c r="O153" s="43"/>
      <c r="P153" s="43"/>
      <c r="Q153" s="43">
        <f>+[1]FERIYE!O633</f>
        <v>0</v>
      </c>
      <c r="R153" s="43"/>
      <c r="S153" s="43"/>
      <c r="T153" s="43">
        <f>+[1]FERIYE!R633</f>
        <v>0</v>
      </c>
      <c r="U153" s="43"/>
      <c r="V153" s="43"/>
      <c r="W153" s="43">
        <f>+[1]FERIYE!U633</f>
        <v>0</v>
      </c>
      <c r="X153" s="43"/>
      <c r="Y153" s="43"/>
      <c r="Z153" s="43">
        <f>+[1]FERIYE!X633</f>
        <v>0</v>
      </c>
      <c r="AA153" s="43"/>
      <c r="AB153" s="43"/>
      <c r="AC153" s="43">
        <f>+[1]FERIYE!AA633</f>
        <v>0</v>
      </c>
      <c r="AD153" s="43"/>
      <c r="AE153" s="43"/>
      <c r="AF153" s="43">
        <f>+[1]FERIYE!AD633</f>
        <v>0</v>
      </c>
      <c r="AG153" s="43"/>
      <c r="AH153" s="43"/>
      <c r="AI153" s="43">
        <f>+[1]FERIYE!AG633</f>
        <v>0</v>
      </c>
      <c r="AJ153" s="44"/>
      <c r="AK153" s="44"/>
      <c r="AL153" s="95">
        <f>+[1]FERIYE!AJ633</f>
        <v>0</v>
      </c>
    </row>
    <row r="154" spans="1:38" x14ac:dyDescent="0.25">
      <c r="A154" s="73" t="s">
        <v>17</v>
      </c>
      <c r="B154" s="6" t="s">
        <v>59</v>
      </c>
      <c r="C154" s="7" t="s">
        <v>40</v>
      </c>
      <c r="D154" s="34" t="s">
        <v>23</v>
      </c>
      <c r="E154" s="45">
        <f>+[1]FERIYE!C634</f>
        <v>0</v>
      </c>
      <c r="F154" s="46"/>
      <c r="G154" s="46"/>
      <c r="H154" s="47">
        <f>+[1]FERIYE!F634</f>
        <v>0</v>
      </c>
      <c r="I154" s="47"/>
      <c r="J154" s="47"/>
      <c r="K154" s="47">
        <f>+[1]FERIYE!I634</f>
        <v>0</v>
      </c>
      <c r="L154" s="47"/>
      <c r="M154" s="47"/>
      <c r="N154" s="47">
        <f>+[1]FERIYE!L634</f>
        <v>0</v>
      </c>
      <c r="O154" s="47"/>
      <c r="P154" s="47"/>
      <c r="Q154" s="47">
        <f>+[1]FERIYE!O634</f>
        <v>0</v>
      </c>
      <c r="R154" s="47"/>
      <c r="S154" s="47"/>
      <c r="T154" s="47">
        <f>+[1]FERIYE!R634</f>
        <v>0</v>
      </c>
      <c r="U154" s="47"/>
      <c r="V154" s="47"/>
      <c r="W154" s="47">
        <f>+[1]FERIYE!U634</f>
        <v>0</v>
      </c>
      <c r="X154" s="47"/>
      <c r="Y154" s="47"/>
      <c r="Z154" s="47">
        <f>+[1]FERIYE!X634</f>
        <v>0</v>
      </c>
      <c r="AA154" s="47"/>
      <c r="AB154" s="47"/>
      <c r="AC154" s="47">
        <f>+[1]FERIYE!AA634</f>
        <v>0</v>
      </c>
      <c r="AD154" s="47"/>
      <c r="AE154" s="47"/>
      <c r="AF154" s="47">
        <f>+[1]FERIYE!AD634</f>
        <v>0</v>
      </c>
      <c r="AG154" s="47"/>
      <c r="AH154" s="47"/>
      <c r="AI154" s="47">
        <f>+[1]FERIYE!AG634</f>
        <v>0</v>
      </c>
      <c r="AJ154" s="48"/>
      <c r="AK154" s="48"/>
      <c r="AL154" s="96">
        <f>+[1]FERIYE!AJ634</f>
        <v>0</v>
      </c>
    </row>
    <row r="155" spans="1:38" x14ac:dyDescent="0.25">
      <c r="A155" s="73" t="s">
        <v>17</v>
      </c>
      <c r="B155" s="6" t="s">
        <v>59</v>
      </c>
      <c r="C155" s="7" t="s">
        <v>41</v>
      </c>
      <c r="D155" s="34" t="s">
        <v>23</v>
      </c>
      <c r="E155" s="45">
        <f>+[1]FERIYE!C635</f>
        <v>0</v>
      </c>
      <c r="F155" s="46"/>
      <c r="G155" s="46"/>
      <c r="H155" s="47">
        <f>+[1]FERIYE!F635</f>
        <v>0</v>
      </c>
      <c r="I155" s="47"/>
      <c r="J155" s="47"/>
      <c r="K155" s="47">
        <f>+[1]FERIYE!I635</f>
        <v>0</v>
      </c>
      <c r="L155" s="47"/>
      <c r="M155" s="47"/>
      <c r="N155" s="47">
        <f>+[1]FERIYE!L635</f>
        <v>0</v>
      </c>
      <c r="O155" s="47"/>
      <c r="P155" s="47"/>
      <c r="Q155" s="47">
        <f>+[1]FERIYE!O635</f>
        <v>0</v>
      </c>
      <c r="R155" s="47"/>
      <c r="S155" s="47"/>
      <c r="T155" s="47">
        <f>+[1]FERIYE!R635</f>
        <v>0</v>
      </c>
      <c r="U155" s="47"/>
      <c r="V155" s="47"/>
      <c r="W155" s="47">
        <f>+[1]FERIYE!U635</f>
        <v>0</v>
      </c>
      <c r="X155" s="47"/>
      <c r="Y155" s="47"/>
      <c r="Z155" s="47">
        <f>+[1]FERIYE!X635</f>
        <v>0</v>
      </c>
      <c r="AA155" s="47"/>
      <c r="AB155" s="47"/>
      <c r="AC155" s="47">
        <f>+[1]FERIYE!AA635</f>
        <v>0</v>
      </c>
      <c r="AD155" s="47"/>
      <c r="AE155" s="47"/>
      <c r="AF155" s="47">
        <f>+[1]FERIYE!AD635</f>
        <v>0</v>
      </c>
      <c r="AG155" s="47"/>
      <c r="AH155" s="47"/>
      <c r="AI155" s="47">
        <f>+[1]FERIYE!AG635</f>
        <v>0</v>
      </c>
      <c r="AJ155" s="48"/>
      <c r="AK155" s="48"/>
      <c r="AL155" s="96">
        <f>+[1]FERIYE!AJ635</f>
        <v>0</v>
      </c>
    </row>
    <row r="156" spans="1:38" x14ac:dyDescent="0.25">
      <c r="A156" s="73" t="s">
        <v>17</v>
      </c>
      <c r="B156" s="6" t="s">
        <v>59</v>
      </c>
      <c r="C156" s="7" t="s">
        <v>42</v>
      </c>
      <c r="D156" s="34" t="s">
        <v>43</v>
      </c>
      <c r="E156" s="97">
        <v>0</v>
      </c>
      <c r="F156" s="98"/>
      <c r="G156" s="98"/>
      <c r="H156" s="99">
        <v>0</v>
      </c>
      <c r="I156" s="99"/>
      <c r="J156" s="99"/>
      <c r="K156" s="99">
        <v>0</v>
      </c>
      <c r="L156" s="99"/>
      <c r="M156" s="99"/>
      <c r="N156" s="99">
        <v>0</v>
      </c>
      <c r="O156" s="99"/>
      <c r="P156" s="99"/>
      <c r="Q156" s="99">
        <v>0</v>
      </c>
      <c r="R156" s="99"/>
      <c r="S156" s="99"/>
      <c r="T156" s="99">
        <v>0</v>
      </c>
      <c r="U156" s="99"/>
      <c r="V156" s="99"/>
      <c r="W156" s="99">
        <v>0</v>
      </c>
      <c r="X156" s="99"/>
      <c r="Y156" s="99"/>
      <c r="Z156" s="99">
        <v>0</v>
      </c>
      <c r="AA156" s="99"/>
      <c r="AB156" s="99"/>
      <c r="AC156" s="99">
        <v>0</v>
      </c>
      <c r="AD156" s="99"/>
      <c r="AE156" s="99"/>
      <c r="AF156" s="99">
        <v>0</v>
      </c>
      <c r="AG156" s="99"/>
      <c r="AH156" s="99"/>
      <c r="AI156" s="99">
        <v>0</v>
      </c>
      <c r="AJ156" s="100"/>
      <c r="AK156" s="100"/>
      <c r="AL156" s="101">
        <v>0</v>
      </c>
    </row>
    <row r="157" spans="1:38" x14ac:dyDescent="0.25">
      <c r="A157" s="73" t="s">
        <v>17</v>
      </c>
      <c r="B157" s="6" t="s">
        <v>59</v>
      </c>
      <c r="C157" s="7" t="s">
        <v>44</v>
      </c>
      <c r="D157" s="34" t="s">
        <v>45</v>
      </c>
      <c r="E157" s="102">
        <v>0</v>
      </c>
      <c r="F157" s="103"/>
      <c r="G157" s="103"/>
      <c r="H157" s="104">
        <v>0</v>
      </c>
      <c r="I157" s="104"/>
      <c r="J157" s="104"/>
      <c r="K157" s="104">
        <v>0</v>
      </c>
      <c r="L157" s="104"/>
      <c r="M157" s="104"/>
      <c r="N157" s="104">
        <v>0</v>
      </c>
      <c r="O157" s="104"/>
      <c r="P157" s="104"/>
      <c r="Q157" s="104">
        <v>0</v>
      </c>
      <c r="R157" s="104"/>
      <c r="S157" s="104"/>
      <c r="T157" s="104">
        <v>0</v>
      </c>
      <c r="U157" s="104"/>
      <c r="V157" s="104"/>
      <c r="W157" s="104">
        <v>0</v>
      </c>
      <c r="X157" s="104"/>
      <c r="Y157" s="104"/>
      <c r="Z157" s="104">
        <v>0</v>
      </c>
      <c r="AA157" s="104"/>
      <c r="AB157" s="104"/>
      <c r="AC157" s="104">
        <v>0</v>
      </c>
      <c r="AD157" s="104"/>
      <c r="AE157" s="104"/>
      <c r="AF157" s="104">
        <v>0</v>
      </c>
      <c r="AG157" s="104"/>
      <c r="AH157" s="104"/>
      <c r="AI157" s="104">
        <v>0</v>
      </c>
      <c r="AJ157" s="105"/>
      <c r="AK157" s="105"/>
      <c r="AL157" s="106">
        <v>0</v>
      </c>
    </row>
    <row r="158" spans="1:38" x14ac:dyDescent="0.25">
      <c r="A158" s="73" t="s">
        <v>17</v>
      </c>
      <c r="B158" s="6" t="s">
        <v>59</v>
      </c>
      <c r="C158" s="7" t="s">
        <v>46</v>
      </c>
      <c r="D158" s="34" t="s">
        <v>45</v>
      </c>
      <c r="E158" s="107">
        <v>0</v>
      </c>
      <c r="F158" s="108"/>
      <c r="G158" s="108"/>
      <c r="H158" s="109">
        <v>0</v>
      </c>
      <c r="I158" s="109"/>
      <c r="J158" s="109"/>
      <c r="K158" s="109">
        <v>0</v>
      </c>
      <c r="L158" s="109"/>
      <c r="M158" s="109"/>
      <c r="N158" s="109">
        <v>0</v>
      </c>
      <c r="O158" s="109"/>
      <c r="P158" s="109"/>
      <c r="Q158" s="109">
        <v>0</v>
      </c>
      <c r="R158" s="109"/>
      <c r="S158" s="109"/>
      <c r="T158" s="109">
        <v>0</v>
      </c>
      <c r="U158" s="109"/>
      <c r="V158" s="109"/>
      <c r="W158" s="109">
        <v>0</v>
      </c>
      <c r="X158" s="109"/>
      <c r="Y158" s="109"/>
      <c r="Z158" s="109">
        <v>0</v>
      </c>
      <c r="AA158" s="109"/>
      <c r="AB158" s="109"/>
      <c r="AC158" s="109">
        <v>0</v>
      </c>
      <c r="AD158" s="109"/>
      <c r="AE158" s="109"/>
      <c r="AF158" s="109">
        <v>0</v>
      </c>
      <c r="AG158" s="109"/>
      <c r="AH158" s="109"/>
      <c r="AI158" s="109">
        <v>0</v>
      </c>
      <c r="AJ158" s="110"/>
      <c r="AK158" s="110"/>
      <c r="AL158" s="111">
        <v>0</v>
      </c>
    </row>
    <row r="159" spans="1:38" x14ac:dyDescent="0.25">
      <c r="A159" s="73" t="s">
        <v>17</v>
      </c>
      <c r="B159" s="6" t="s">
        <v>59</v>
      </c>
      <c r="C159" s="7" t="s">
        <v>47</v>
      </c>
      <c r="D159" s="8" t="s">
        <v>23</v>
      </c>
      <c r="E159" s="49">
        <f>IFERROR(+E153/E156,0)</f>
        <v>0</v>
      </c>
      <c r="F159" s="50"/>
      <c r="G159" s="50"/>
      <c r="H159" s="51">
        <f>IFERROR(+H153/H156,0)</f>
        <v>0</v>
      </c>
      <c r="I159" s="52"/>
      <c r="J159" s="52"/>
      <c r="K159" s="51">
        <f>IFERROR(+K153/K156,0)</f>
        <v>0</v>
      </c>
      <c r="L159" s="52"/>
      <c r="M159" s="52"/>
      <c r="N159" s="51">
        <f>IFERROR(+N153/N156,0)</f>
        <v>0</v>
      </c>
      <c r="O159" s="52"/>
      <c r="P159" s="52"/>
      <c r="Q159" s="51">
        <f>IFERROR(+Q153/Q156,0)</f>
        <v>0</v>
      </c>
      <c r="R159" s="52"/>
      <c r="S159" s="52"/>
      <c r="T159" s="51">
        <f>IFERROR(+T153/T156,0)</f>
        <v>0</v>
      </c>
      <c r="U159" s="52"/>
      <c r="V159" s="52"/>
      <c r="W159" s="51">
        <f>IFERROR(+W153/W156,0)</f>
        <v>0</v>
      </c>
      <c r="X159" s="52"/>
      <c r="Y159" s="52"/>
      <c r="Z159" s="51">
        <f>IFERROR(+Z153/Z156,0)</f>
        <v>0</v>
      </c>
      <c r="AA159" s="52"/>
      <c r="AB159" s="52"/>
      <c r="AC159" s="51">
        <f>IFERROR(+AC153/AC156,0)</f>
        <v>0</v>
      </c>
      <c r="AD159" s="52"/>
      <c r="AE159" s="52"/>
      <c r="AF159" s="51">
        <f>IFERROR(+AF153/AF156,0)</f>
        <v>0</v>
      </c>
      <c r="AG159" s="52"/>
      <c r="AH159" s="52"/>
      <c r="AI159" s="51">
        <f>IFERROR(+AI153/AI156,0)</f>
        <v>0</v>
      </c>
      <c r="AJ159" s="53"/>
      <c r="AK159" s="53"/>
      <c r="AL159" s="112">
        <f>IFERROR(+AL153/AL156,0)</f>
        <v>0</v>
      </c>
    </row>
    <row r="160" spans="1:38" x14ac:dyDescent="0.25">
      <c r="A160" s="73" t="s">
        <v>17</v>
      </c>
      <c r="B160" s="6" t="s">
        <v>59</v>
      </c>
      <c r="C160" s="7" t="s">
        <v>48</v>
      </c>
      <c r="D160" s="34" t="s">
        <v>23</v>
      </c>
      <c r="E160" s="49">
        <f>IFERROR(+E154/E157,0)</f>
        <v>0</v>
      </c>
      <c r="F160" s="50"/>
      <c r="G160" s="50"/>
      <c r="H160" s="51">
        <f>IFERROR(+H154/H157,0)</f>
        <v>0</v>
      </c>
      <c r="I160" s="52"/>
      <c r="J160" s="52"/>
      <c r="K160" s="51">
        <f>IFERROR(+K154/K157,0)</f>
        <v>0</v>
      </c>
      <c r="L160" s="52"/>
      <c r="M160" s="52"/>
      <c r="N160" s="51">
        <f>IFERROR(+N154/N157,0)</f>
        <v>0</v>
      </c>
      <c r="O160" s="52"/>
      <c r="P160" s="52"/>
      <c r="Q160" s="51">
        <f>IFERROR(+Q154/Q157,0)</f>
        <v>0</v>
      </c>
      <c r="R160" s="52"/>
      <c r="S160" s="52"/>
      <c r="T160" s="51">
        <f>IFERROR(+T154/T157,0)</f>
        <v>0</v>
      </c>
      <c r="U160" s="52"/>
      <c r="V160" s="52"/>
      <c r="W160" s="51">
        <f>IFERROR(+W154/W157,0)</f>
        <v>0</v>
      </c>
      <c r="X160" s="52"/>
      <c r="Y160" s="52"/>
      <c r="Z160" s="51">
        <f>IFERROR(+Z154/Z157,0)</f>
        <v>0</v>
      </c>
      <c r="AA160" s="52"/>
      <c r="AB160" s="52"/>
      <c r="AC160" s="51">
        <f>IFERROR(+AC154/AC157,0)</f>
        <v>0</v>
      </c>
      <c r="AD160" s="52"/>
      <c r="AE160" s="52"/>
      <c r="AF160" s="51">
        <f>IFERROR(+AF154/AF157,0)</f>
        <v>0</v>
      </c>
      <c r="AG160" s="52"/>
      <c r="AH160" s="52"/>
      <c r="AI160" s="51">
        <f>IFERROR(+AI154/AI157,0)</f>
        <v>0</v>
      </c>
      <c r="AJ160" s="53"/>
      <c r="AK160" s="53"/>
      <c r="AL160" s="112">
        <f>IFERROR(+AL154/AL157,0)</f>
        <v>0</v>
      </c>
    </row>
    <row r="161" spans="1:38" x14ac:dyDescent="0.25">
      <c r="A161" s="73" t="s">
        <v>17</v>
      </c>
      <c r="B161" s="6" t="s">
        <v>59</v>
      </c>
      <c r="C161" s="7" t="s">
        <v>49</v>
      </c>
      <c r="D161" s="34" t="s">
        <v>23</v>
      </c>
      <c r="E161" s="54">
        <f>IFERROR(+E155/E158,0)</f>
        <v>0</v>
      </c>
      <c r="F161" s="55"/>
      <c r="G161" s="55"/>
      <c r="H161" s="56">
        <f>IFERROR(+H155/H158,0)</f>
        <v>0</v>
      </c>
      <c r="I161" s="57"/>
      <c r="J161" s="57"/>
      <c r="K161" s="56">
        <f>IFERROR(+K155/K158,0)</f>
        <v>0</v>
      </c>
      <c r="L161" s="57"/>
      <c r="M161" s="57"/>
      <c r="N161" s="56">
        <f>IFERROR(+N155/N158,0)</f>
        <v>0</v>
      </c>
      <c r="O161" s="57"/>
      <c r="P161" s="57"/>
      <c r="Q161" s="56">
        <f>IFERROR(+Q155/Q158,0)</f>
        <v>0</v>
      </c>
      <c r="R161" s="57"/>
      <c r="S161" s="57"/>
      <c r="T161" s="56">
        <f>IFERROR(+T155/T158,0)</f>
        <v>0</v>
      </c>
      <c r="U161" s="57"/>
      <c r="V161" s="57"/>
      <c r="W161" s="56">
        <f>IFERROR(+W155/W158,0)</f>
        <v>0</v>
      </c>
      <c r="X161" s="57"/>
      <c r="Y161" s="57"/>
      <c r="Z161" s="56">
        <f>IFERROR(+Z155/Z158,0)</f>
        <v>0</v>
      </c>
      <c r="AA161" s="57"/>
      <c r="AB161" s="57"/>
      <c r="AC161" s="56">
        <f>IFERROR(+AC155/AC158,0)</f>
        <v>0</v>
      </c>
      <c r="AD161" s="57"/>
      <c r="AE161" s="57"/>
      <c r="AF161" s="56">
        <f>IFERROR(+AF155/AF158,0)</f>
        <v>0</v>
      </c>
      <c r="AG161" s="57"/>
      <c r="AH161" s="57"/>
      <c r="AI161" s="56">
        <f>IFERROR(+AI155/AI158,0)</f>
        <v>0</v>
      </c>
      <c r="AJ161" s="58"/>
      <c r="AK161" s="58"/>
      <c r="AL161" s="113">
        <f>IFERROR(+AL155/AL158,0)</f>
        <v>0</v>
      </c>
    </row>
    <row r="162" spans="1:38" x14ac:dyDescent="0.25">
      <c r="A162" s="73" t="s">
        <v>17</v>
      </c>
      <c r="B162" s="6" t="s">
        <v>59</v>
      </c>
      <c r="C162" s="7" t="s">
        <v>50</v>
      </c>
      <c r="D162" s="8" t="s">
        <v>23</v>
      </c>
      <c r="E162" s="59">
        <f>+[1]FERIYE!C660</f>
        <v>0</v>
      </c>
      <c r="F162" s="60"/>
      <c r="G162" s="60"/>
      <c r="H162" s="61">
        <f>+[1]FERIYE!F660</f>
        <v>0</v>
      </c>
      <c r="I162" s="61"/>
      <c r="J162" s="61"/>
      <c r="K162" s="61">
        <f>+[1]FERIYE!I660</f>
        <v>0</v>
      </c>
      <c r="L162" s="61"/>
      <c r="M162" s="61"/>
      <c r="N162" s="61">
        <f>+[1]FERIYE!L660</f>
        <v>0</v>
      </c>
      <c r="O162" s="61"/>
      <c r="P162" s="61"/>
      <c r="Q162" s="61">
        <f>+[1]FERIYE!O660</f>
        <v>0</v>
      </c>
      <c r="R162" s="61"/>
      <c r="S162" s="61"/>
      <c r="T162" s="61">
        <f>+[1]FERIYE!R660</f>
        <v>0</v>
      </c>
      <c r="U162" s="61"/>
      <c r="V162" s="61"/>
      <c r="W162" s="61">
        <f>+[1]FERIYE!U660</f>
        <v>0</v>
      </c>
      <c r="X162" s="61"/>
      <c r="Y162" s="61"/>
      <c r="Z162" s="61">
        <f>+[1]FERIYE!X660</f>
        <v>0</v>
      </c>
      <c r="AA162" s="61"/>
      <c r="AB162" s="61"/>
      <c r="AC162" s="61">
        <f>+[1]FERIYE!AA660</f>
        <v>0</v>
      </c>
      <c r="AD162" s="61"/>
      <c r="AE162" s="61"/>
      <c r="AF162" s="61">
        <f>+[1]FERIYE!AD660</f>
        <v>0</v>
      </c>
      <c r="AG162" s="61"/>
      <c r="AH162" s="61"/>
      <c r="AI162" s="61">
        <f>+[1]FERIYE!AG660</f>
        <v>0</v>
      </c>
      <c r="AJ162" s="62"/>
      <c r="AK162" s="62"/>
      <c r="AL162" s="114">
        <f>+[1]FERIYE!AJ660</f>
        <v>0</v>
      </c>
    </row>
    <row r="163" spans="1:38" x14ac:dyDescent="0.25">
      <c r="A163" s="73" t="s">
        <v>17</v>
      </c>
      <c r="B163" s="6" t="s">
        <v>59</v>
      </c>
      <c r="C163" s="7" t="s">
        <v>51</v>
      </c>
      <c r="D163" s="8" t="s">
        <v>20</v>
      </c>
      <c r="E163" s="9"/>
      <c r="F163" s="10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2"/>
      <c r="AK163" s="12"/>
      <c r="AL163" s="74"/>
    </row>
    <row r="164" spans="1:38" x14ac:dyDescent="0.25">
      <c r="A164" s="85" t="s">
        <v>17</v>
      </c>
      <c r="B164" s="32" t="s">
        <v>59</v>
      </c>
      <c r="C164" s="33" t="s">
        <v>52</v>
      </c>
      <c r="D164" s="34" t="s">
        <v>23</v>
      </c>
      <c r="E164" s="24">
        <f>+[1]FERIYE!C668</f>
        <v>0</v>
      </c>
      <c r="F164" s="25"/>
      <c r="G164" s="25"/>
      <c r="H164" s="26">
        <f>+[1]FERIYE!F668</f>
        <v>0</v>
      </c>
      <c r="I164" s="26"/>
      <c r="J164" s="26"/>
      <c r="K164" s="26">
        <f>+[1]FERIYE!I668</f>
        <v>0</v>
      </c>
      <c r="L164" s="26"/>
      <c r="M164" s="26"/>
      <c r="N164" s="26">
        <f>+[1]FERIYE!L668</f>
        <v>0</v>
      </c>
      <c r="O164" s="26"/>
      <c r="P164" s="26"/>
      <c r="Q164" s="26">
        <f>+[1]FERIYE!O668</f>
        <v>0</v>
      </c>
      <c r="R164" s="26"/>
      <c r="S164" s="26"/>
      <c r="T164" s="26">
        <f>+[1]FERIYE!R668</f>
        <v>0</v>
      </c>
      <c r="U164" s="26"/>
      <c r="V164" s="26"/>
      <c r="W164" s="26">
        <f>+[1]FERIYE!U668</f>
        <v>0</v>
      </c>
      <c r="X164" s="26"/>
      <c r="Y164" s="26"/>
      <c r="Z164" s="26">
        <f>+[1]FERIYE!X668</f>
        <v>0</v>
      </c>
      <c r="AA164" s="26"/>
      <c r="AB164" s="26"/>
      <c r="AC164" s="26">
        <f>+[1]FERIYE!AA668</f>
        <v>0</v>
      </c>
      <c r="AD164" s="26"/>
      <c r="AE164" s="26"/>
      <c r="AF164" s="26">
        <f>+[1]FERIYE!AD668</f>
        <v>0</v>
      </c>
      <c r="AG164" s="26"/>
      <c r="AH164" s="26"/>
      <c r="AI164" s="26">
        <f>+[1]FERIYE!AG668</f>
        <v>0</v>
      </c>
      <c r="AJ164" s="27"/>
      <c r="AK164" s="27"/>
      <c r="AL164" s="78">
        <f>+[1]FERIYE!AJ668</f>
        <v>0</v>
      </c>
    </row>
    <row r="165" spans="1:38" x14ac:dyDescent="0.25">
      <c r="A165" s="85" t="s">
        <v>17</v>
      </c>
      <c r="B165" s="32" t="s">
        <v>59</v>
      </c>
      <c r="C165" s="33" t="s">
        <v>53</v>
      </c>
      <c r="D165" s="34" t="s">
        <v>23</v>
      </c>
      <c r="E165" s="28">
        <f>+[1]FERIYE!C675-[1]FERIYE!C668-[1]FERIYE!C660-[1]FERIYE!C633-[1]FERIYE!C634-[1]FERIYE!C635</f>
        <v>220015.75999999998</v>
      </c>
      <c r="F165" s="29"/>
      <c r="G165" s="29"/>
      <c r="H165" s="30">
        <f>+[1]FERIYE!F675-[1]FERIYE!F668-[1]FERIYE!F660-[1]FERIYE!F633-[1]FERIYE!F634-[1]FERIYE!F635</f>
        <v>200874.02</v>
      </c>
      <c r="I165" s="30"/>
      <c r="J165" s="30"/>
      <c r="K165" s="30">
        <f>+[1]FERIYE!I675-[1]FERIYE!I668-[1]FERIYE!I660-[1]FERIYE!I633-[1]FERIYE!I634-[1]FERIYE!I635</f>
        <v>288166.17</v>
      </c>
      <c r="L165" s="30"/>
      <c r="M165" s="30"/>
      <c r="N165" s="30">
        <f>+[1]FERIYE!L675-[1]FERIYE!L668-[1]FERIYE!L660-[1]FERIYE!L633-[1]FERIYE!L634-[1]FERIYE!L635</f>
        <v>879555.19</v>
      </c>
      <c r="O165" s="30"/>
      <c r="P165" s="30"/>
      <c r="Q165" s="30">
        <f>+[1]FERIYE!O675-[1]FERIYE!O668-[1]FERIYE!O660-[1]FERIYE!O633-[1]FERIYE!O634-[1]FERIYE!O635</f>
        <v>88532.78</v>
      </c>
      <c r="R165" s="30"/>
      <c r="S165" s="30"/>
      <c r="T165" s="30">
        <f>+[1]FERIYE!R675-[1]FERIYE!R668-[1]FERIYE!R660-[1]FERIYE!R633-[1]FERIYE!R634-[1]FERIYE!R635</f>
        <v>287663.93000000005</v>
      </c>
      <c r="U165" s="30"/>
      <c r="V165" s="30"/>
      <c r="W165" s="30">
        <f>+[1]FERIYE!U675-[1]FERIYE!U668-[1]FERIYE!U660-[1]FERIYE!U633-[1]FERIYE!U634-[1]FERIYE!U635</f>
        <v>136119.27000000002</v>
      </c>
      <c r="X165" s="30"/>
      <c r="Y165" s="30"/>
      <c r="Z165" s="30">
        <f>+[1]FERIYE!X675-[1]FERIYE!X668-[1]FERIYE!X660-[1]FERIYE!X633-[1]FERIYE!X634-[1]FERIYE!X635</f>
        <v>0</v>
      </c>
      <c r="AA165" s="30"/>
      <c r="AB165" s="30"/>
      <c r="AC165" s="30">
        <f>+[1]FERIYE!AA675-[1]FERIYE!AA668-[1]FERIYE!AA660-[1]FERIYE!AA633-[1]FERIYE!AA634-[1]FERIYE!AA635</f>
        <v>0</v>
      </c>
      <c r="AD165" s="30"/>
      <c r="AE165" s="30"/>
      <c r="AF165" s="30">
        <f>+[1]FERIYE!AD675-[1]FERIYE!AD668-[1]FERIYE!AD660-[1]FERIYE!AD633-[1]FERIYE!AD634-[1]FERIYE!AD635</f>
        <v>0</v>
      </c>
      <c r="AG165" s="30"/>
      <c r="AH165" s="30"/>
      <c r="AI165" s="30">
        <f>+[1]FERIYE!AG675-[1]FERIYE!AG668-[1]FERIYE!AG660-[1]FERIYE!AG633-[1]FERIYE!AG634-[1]FERIYE!AG635</f>
        <v>0</v>
      </c>
      <c r="AJ165" s="31"/>
      <c r="AK165" s="31"/>
      <c r="AL165" s="79">
        <f>+[1]FERIYE!AJ675-[1]FERIYE!AJ668-[1]FERIYE!AJ660-[1]FERIYE!AJ633-[1]FERIYE!AJ634-[1]FERIYE!AJ635</f>
        <v>0</v>
      </c>
    </row>
    <row r="166" spans="1:38" x14ac:dyDescent="0.25">
      <c r="A166" s="85" t="s">
        <v>17</v>
      </c>
      <c r="B166" s="32" t="s">
        <v>59</v>
      </c>
      <c r="C166" s="33" t="s">
        <v>54</v>
      </c>
      <c r="D166" s="34" t="s">
        <v>23</v>
      </c>
      <c r="E166" s="59">
        <f>+E141+E142+E151+E153+E154+E155+E162+E164+E165</f>
        <v>220015.75999999998</v>
      </c>
      <c r="F166" s="60"/>
      <c r="G166" s="60"/>
      <c r="H166" s="61">
        <f>+H141+H142+H151+H153+H154+H155+H162+H164+H165</f>
        <v>200874.02</v>
      </c>
      <c r="I166" s="61"/>
      <c r="J166" s="61"/>
      <c r="K166" s="61">
        <f>+K141+K142+K151+K153+K154+K155+K162+K164+K165</f>
        <v>441507.12</v>
      </c>
      <c r="L166" s="61"/>
      <c r="M166" s="61"/>
      <c r="N166" s="61">
        <f>+N141+N142+N151+N153+N154+N155+N162+N164+N165</f>
        <v>1028603.5299999999</v>
      </c>
      <c r="O166" s="61"/>
      <c r="P166" s="61"/>
      <c r="Q166" s="61">
        <f>+Q141+Q142+Q151+Q153+Q154+Q155+Q162+Q164+Q165</f>
        <v>249725.98</v>
      </c>
      <c r="R166" s="61"/>
      <c r="S166" s="61"/>
      <c r="T166" s="61">
        <f>+T141+T142+T151+T153+T154+T155+T162+T164+T165</f>
        <v>447454.02</v>
      </c>
      <c r="U166" s="61"/>
      <c r="V166" s="61"/>
      <c r="W166" s="61">
        <f>+W141+W142+W151+W153+W154+W155+W162+W164+W165</f>
        <v>301730.44</v>
      </c>
      <c r="X166" s="61"/>
      <c r="Y166" s="61"/>
      <c r="Z166" s="61">
        <f>+Z141+Z142+Z151+Z153+Z154+Z155+Z162+Z164+Z165</f>
        <v>0</v>
      </c>
      <c r="AA166" s="61"/>
      <c r="AB166" s="61"/>
      <c r="AC166" s="61">
        <f>+AC141+AC142+AC151+AC153+AC154+AC155+AC162+AC164+AC165</f>
        <v>0</v>
      </c>
      <c r="AD166" s="61"/>
      <c r="AE166" s="61"/>
      <c r="AF166" s="61">
        <f>+AF141+AF142+AF151+AF153+AF154+AF155+AF162+AF164+AF165</f>
        <v>0</v>
      </c>
      <c r="AG166" s="61"/>
      <c r="AH166" s="61"/>
      <c r="AI166" s="61">
        <f>+AI141+AI142+AI151+AI153+AI154+AI155+AI162+AI164+AI165</f>
        <v>0</v>
      </c>
      <c r="AJ166" s="62"/>
      <c r="AK166" s="62"/>
      <c r="AL166" s="114">
        <f>+AL141+AL142+AL151+AL153+AL154+AL155+AL162+AL164+AL165</f>
        <v>0</v>
      </c>
    </row>
    <row r="167" spans="1:38" ht="15.75" thickBot="1" x14ac:dyDescent="0.3">
      <c r="A167" s="115" t="s">
        <v>17</v>
      </c>
      <c r="B167" s="116" t="s">
        <v>59</v>
      </c>
      <c r="C167" s="117" t="s">
        <v>55</v>
      </c>
      <c r="D167" s="118" t="s">
        <v>23</v>
      </c>
      <c r="E167" s="119">
        <f>+E166-[1]FERIYE!C677</f>
        <v>0</v>
      </c>
      <c r="F167" s="120"/>
      <c r="G167" s="120"/>
      <c r="H167" s="121">
        <f>+H166-[1]FERIYE!F677</f>
        <v>0</v>
      </c>
      <c r="I167" s="121"/>
      <c r="J167" s="121"/>
      <c r="K167" s="121">
        <f>+K166-[1]FERIYE!I677</f>
        <v>0</v>
      </c>
      <c r="L167" s="121"/>
      <c r="M167" s="121"/>
      <c r="N167" s="121">
        <f>+N166-[1]FERIYE!L677</f>
        <v>0</v>
      </c>
      <c r="O167" s="121"/>
      <c r="P167" s="121"/>
      <c r="Q167" s="121">
        <f>+Q166-[1]FERIYE!O677</f>
        <v>0</v>
      </c>
      <c r="R167" s="121"/>
      <c r="S167" s="121"/>
      <c r="T167" s="121">
        <f>+T166-[1]FERIYE!R677</f>
        <v>0</v>
      </c>
      <c r="U167" s="121"/>
      <c r="V167" s="121"/>
      <c r="W167" s="121">
        <f>+W166-[1]FERIYE!U677</f>
        <v>0</v>
      </c>
      <c r="X167" s="121"/>
      <c r="Y167" s="121"/>
      <c r="Z167" s="121">
        <f>+Z166-[1]FERIYE!X677</f>
        <v>0</v>
      </c>
      <c r="AA167" s="121"/>
      <c r="AB167" s="121"/>
      <c r="AC167" s="121">
        <f>+AC166-[1]FERIYE!AA677</f>
        <v>0</v>
      </c>
      <c r="AD167" s="121"/>
      <c r="AE167" s="121"/>
      <c r="AF167" s="121">
        <f>+AF166-[1]FERIYE!AD677</f>
        <v>0</v>
      </c>
      <c r="AG167" s="121"/>
      <c r="AH167" s="121"/>
      <c r="AI167" s="121">
        <f>+AI166-[1]FERIYE!AG677</f>
        <v>0</v>
      </c>
      <c r="AJ167" s="122"/>
      <c r="AK167" s="122"/>
      <c r="AL167" s="123">
        <f>+AL166-[1]FERIYE!AJ677</f>
        <v>0</v>
      </c>
    </row>
    <row r="168" spans="1:38" x14ac:dyDescent="0.25">
      <c r="A168" s="64" t="s">
        <v>62</v>
      </c>
      <c r="B168" s="65" t="s">
        <v>63</v>
      </c>
      <c r="C168" s="66" t="s">
        <v>19</v>
      </c>
      <c r="D168" s="67" t="s">
        <v>20</v>
      </c>
      <c r="E168" s="68">
        <f>+[1]L.KIRDAR!C205</f>
        <v>1037</v>
      </c>
      <c r="F168" s="69"/>
      <c r="G168" s="69"/>
      <c r="H168" s="70">
        <f>+[1]L.KIRDAR!F205</f>
        <v>1434</v>
      </c>
      <c r="I168" s="70"/>
      <c r="J168" s="70"/>
      <c r="K168" s="70">
        <f>+[1]L.KIRDAR!I205</f>
        <v>957</v>
      </c>
      <c r="L168" s="70"/>
      <c r="M168" s="70"/>
      <c r="N168" s="70">
        <f>+[1]L.KIRDAR!L205</f>
        <v>2172</v>
      </c>
      <c r="O168" s="70"/>
      <c r="P168" s="70"/>
      <c r="Q168" s="70">
        <f>+[1]L.KIRDAR!O205</f>
        <v>1559</v>
      </c>
      <c r="R168" s="70"/>
      <c r="S168" s="70"/>
      <c r="T168" s="70">
        <f>+[1]L.KIRDAR!R205</f>
        <v>3134</v>
      </c>
      <c r="U168" s="70"/>
      <c r="V168" s="70"/>
      <c r="W168" s="70">
        <f>+[1]L.KIRDAR!U205</f>
        <v>1398</v>
      </c>
      <c r="X168" s="70"/>
      <c r="Y168" s="70"/>
      <c r="Z168" s="70">
        <f>+[1]L.KIRDAR!X205</f>
        <v>0</v>
      </c>
      <c r="AA168" s="70"/>
      <c r="AB168" s="70"/>
      <c r="AC168" s="70">
        <f>+[1]L.KIRDAR!AA205</f>
        <v>0</v>
      </c>
      <c r="AD168" s="70"/>
      <c r="AE168" s="70"/>
      <c r="AF168" s="70">
        <f>+[1]L.KIRDAR!AD205</f>
        <v>0</v>
      </c>
      <c r="AG168" s="70"/>
      <c r="AH168" s="70"/>
      <c r="AI168" s="70">
        <f>+[1]L.KIRDAR!AG205</f>
        <v>0</v>
      </c>
      <c r="AJ168" s="71"/>
      <c r="AK168" s="71"/>
      <c r="AL168" s="72">
        <f>+[1]L.KIRDAR!AJ205</f>
        <v>0</v>
      </c>
    </row>
    <row r="169" spans="1:38" x14ac:dyDescent="0.25">
      <c r="A169" s="73" t="s">
        <v>62</v>
      </c>
      <c r="B169" s="6" t="s">
        <v>63</v>
      </c>
      <c r="C169" s="7" t="s">
        <v>21</v>
      </c>
      <c r="D169" s="8" t="s">
        <v>20</v>
      </c>
      <c r="E169" s="9"/>
      <c r="F169" s="10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2"/>
      <c r="AK169" s="12"/>
      <c r="AL169" s="74"/>
    </row>
    <row r="170" spans="1:38" x14ac:dyDescent="0.25">
      <c r="A170" s="73" t="s">
        <v>62</v>
      </c>
      <c r="B170" s="6" t="s">
        <v>63</v>
      </c>
      <c r="C170" s="7" t="s">
        <v>22</v>
      </c>
      <c r="D170" s="8" t="s">
        <v>23</v>
      </c>
      <c r="E170" s="13">
        <f>+[1]L.KIRDAR!C200</f>
        <v>1959091.71</v>
      </c>
      <c r="F170" s="14"/>
      <c r="G170" s="14"/>
      <c r="H170" s="15">
        <f>+[1]L.KIRDAR!F200</f>
        <v>2510980.7599999998</v>
      </c>
      <c r="I170" s="14"/>
      <c r="J170" s="14"/>
      <c r="K170" s="13">
        <f>+[1]L.KIRDAR!I200</f>
        <v>2046997.83</v>
      </c>
      <c r="L170" s="14"/>
      <c r="M170" s="14"/>
      <c r="N170" s="15">
        <f>+[1]L.KIRDAR!L200</f>
        <v>3886543.6799999997</v>
      </c>
      <c r="O170" s="15"/>
      <c r="P170" s="15"/>
      <c r="Q170" s="15">
        <f>+[1]L.KIRDAR!O200</f>
        <v>2849858.38</v>
      </c>
      <c r="R170" s="15"/>
      <c r="S170" s="15"/>
      <c r="T170" s="15">
        <f>+[1]L.KIRDAR!R200</f>
        <v>4114537.54</v>
      </c>
      <c r="U170" s="15"/>
      <c r="V170" s="15"/>
      <c r="W170" s="15">
        <f>+[1]L.KIRDAR!U200</f>
        <v>2194408.7800000003</v>
      </c>
      <c r="X170" s="15"/>
      <c r="Y170" s="15"/>
      <c r="Z170" s="15">
        <f>+[1]L.KIRDAR!X200</f>
        <v>0</v>
      </c>
      <c r="AA170" s="15"/>
      <c r="AB170" s="15"/>
      <c r="AC170" s="15">
        <f>+[1]L.KIRDAR!AA200</f>
        <v>0</v>
      </c>
      <c r="AD170" s="15"/>
      <c r="AE170" s="15"/>
      <c r="AF170" s="15">
        <f>+[1]L.KIRDAR!AD200</f>
        <v>0</v>
      </c>
      <c r="AG170" s="15"/>
      <c r="AH170" s="15"/>
      <c r="AI170" s="15">
        <f>+[1]L.KIRDAR!AG200</f>
        <v>0</v>
      </c>
      <c r="AJ170" s="16"/>
      <c r="AK170" s="16"/>
      <c r="AL170" s="75">
        <f>+[1]L.KIRDAR!AJ200</f>
        <v>0</v>
      </c>
    </row>
    <row r="171" spans="1:38" x14ac:dyDescent="0.25">
      <c r="A171" s="73" t="s">
        <v>62</v>
      </c>
      <c r="B171" s="6" t="s">
        <v>63</v>
      </c>
      <c r="C171" s="7" t="s">
        <v>24</v>
      </c>
      <c r="D171" s="8" t="s">
        <v>23</v>
      </c>
      <c r="E171" s="13">
        <f>+[1]L.KIRDAR!C201</f>
        <v>649421.03</v>
      </c>
      <c r="F171" s="17"/>
      <c r="G171" s="17"/>
      <c r="H171" s="18">
        <f>+[1]L.KIRDAR!F201</f>
        <v>683114.23</v>
      </c>
      <c r="I171" s="18"/>
      <c r="J171" s="18"/>
      <c r="K171" s="18">
        <f>+[1]L.KIRDAR!I201</f>
        <v>552988.82999999996</v>
      </c>
      <c r="L171" s="18"/>
      <c r="M171" s="18"/>
      <c r="N171" s="18">
        <f>+[1]L.KIRDAR!L201</f>
        <v>1617106.52</v>
      </c>
      <c r="O171" s="18"/>
      <c r="P171" s="18"/>
      <c r="Q171" s="18">
        <f>+[1]L.KIRDAR!O201</f>
        <v>1093732.5499999998</v>
      </c>
      <c r="R171" s="18"/>
      <c r="S171" s="18"/>
      <c r="T171" s="18">
        <f>+[1]L.KIRDAR!R201</f>
        <v>1705490.8400000003</v>
      </c>
      <c r="U171" s="18"/>
      <c r="V171" s="18"/>
      <c r="W171" s="18">
        <f>+[1]L.KIRDAR!U201</f>
        <v>773440.96</v>
      </c>
      <c r="X171" s="18"/>
      <c r="Y171" s="18"/>
      <c r="Z171" s="18">
        <f>+[1]L.KIRDAR!X201</f>
        <v>0</v>
      </c>
      <c r="AA171" s="18"/>
      <c r="AB171" s="18"/>
      <c r="AC171" s="18">
        <f>+[1]L.KIRDAR!AA201</f>
        <v>0</v>
      </c>
      <c r="AD171" s="18"/>
      <c r="AE171" s="18"/>
      <c r="AF171" s="18">
        <f>+[1]L.KIRDAR!AD201</f>
        <v>0</v>
      </c>
      <c r="AG171" s="18"/>
      <c r="AH171" s="18"/>
      <c r="AI171" s="18">
        <f>+[1]L.KIRDAR!AG201</f>
        <v>0</v>
      </c>
      <c r="AJ171" s="19"/>
      <c r="AK171" s="19"/>
      <c r="AL171" s="76">
        <f>+[1]L.KIRDAR!AJ201</f>
        <v>0</v>
      </c>
    </row>
    <row r="172" spans="1:38" x14ac:dyDescent="0.25">
      <c r="A172" s="73" t="s">
        <v>62</v>
      </c>
      <c r="B172" s="6" t="s">
        <v>63</v>
      </c>
      <c r="C172" s="7" t="s">
        <v>25</v>
      </c>
      <c r="D172" s="8" t="s">
        <v>23</v>
      </c>
      <c r="E172" s="20">
        <f>+[1]L.KIRDAR!C204-[1]L.KIRDAR!C200-[1]L.KIRDAR!C201</f>
        <v>188878.26999999979</v>
      </c>
      <c r="F172" s="21"/>
      <c r="G172" s="21"/>
      <c r="H172" s="22">
        <f>+[1]L.KIRDAR!F204-[1]L.KIRDAR!F200-[1]L.KIRDAR!F201</f>
        <v>315456.62999999989</v>
      </c>
      <c r="I172" s="22"/>
      <c r="J172" s="22"/>
      <c r="K172" s="22">
        <f>+[1]L.KIRDAR!I204-[1]L.KIRDAR!I200-[1]L.KIRDAR!I201</f>
        <v>10709.470000000321</v>
      </c>
      <c r="L172" s="22"/>
      <c r="M172" s="22"/>
      <c r="N172" s="22">
        <f>+[1]L.KIRDAR!L204-[1]L.KIRDAR!L200-[1]L.KIRDAR!L201</f>
        <v>0</v>
      </c>
      <c r="O172" s="22"/>
      <c r="P172" s="22"/>
      <c r="Q172" s="22">
        <f>+[1]L.KIRDAR!O204-[1]L.KIRDAR!O200-[1]L.KIRDAR!O201</f>
        <v>0</v>
      </c>
      <c r="R172" s="22"/>
      <c r="S172" s="22"/>
      <c r="T172" s="22">
        <f>+[1]L.KIRDAR!R204-[1]L.KIRDAR!R200-[1]L.KIRDAR!R201</f>
        <v>50563.000000000466</v>
      </c>
      <c r="U172" s="22"/>
      <c r="V172" s="22"/>
      <c r="W172" s="22">
        <f>+[1]L.KIRDAR!U204-[1]L.KIRDAR!U200-[1]L.KIRDAR!U201</f>
        <v>207102</v>
      </c>
      <c r="X172" s="22"/>
      <c r="Y172" s="22"/>
      <c r="Z172" s="22">
        <f>+[1]L.KIRDAR!X204-[1]L.KIRDAR!X200-[1]L.KIRDAR!X201</f>
        <v>0</v>
      </c>
      <c r="AA172" s="22"/>
      <c r="AB172" s="22"/>
      <c r="AC172" s="22">
        <f>+[1]L.KIRDAR!AA204-[1]L.KIRDAR!AA200-[1]L.KIRDAR!AA201</f>
        <v>0</v>
      </c>
      <c r="AD172" s="22"/>
      <c r="AE172" s="22"/>
      <c r="AF172" s="22">
        <f>+[1]L.KIRDAR!AD204-[1]L.KIRDAR!AD200-[1]L.KIRDAR!AD201</f>
        <v>0</v>
      </c>
      <c r="AG172" s="22"/>
      <c r="AH172" s="22"/>
      <c r="AI172" s="22">
        <f>+[1]L.KIRDAR!AG204-[1]L.KIRDAR!AG200-[1]L.KIRDAR!AG201</f>
        <v>0</v>
      </c>
      <c r="AJ172" s="23"/>
      <c r="AK172" s="23"/>
      <c r="AL172" s="77">
        <f>+[1]L.KIRDAR!AJ204-[1]L.KIRDAR!AJ200-[1]L.KIRDAR!AJ201</f>
        <v>0</v>
      </c>
    </row>
    <row r="173" spans="1:38" x14ac:dyDescent="0.25">
      <c r="A173" s="73" t="s">
        <v>62</v>
      </c>
      <c r="B173" s="6" t="s">
        <v>63</v>
      </c>
      <c r="C173" s="7" t="s">
        <v>26</v>
      </c>
      <c r="D173" s="8" t="s">
        <v>23</v>
      </c>
      <c r="E173" s="24">
        <f>+[1]L.KIRDAR!C225</f>
        <v>971217.93</v>
      </c>
      <c r="F173" s="25"/>
      <c r="G173" s="25"/>
      <c r="H173" s="26">
        <f>+[1]L.KIRDAR!F225</f>
        <v>1261595.3900000001</v>
      </c>
      <c r="I173" s="26"/>
      <c r="J173" s="26"/>
      <c r="K173" s="26">
        <f>+[1]L.KIRDAR!I225</f>
        <v>1135150.5599999998</v>
      </c>
      <c r="L173" s="26"/>
      <c r="M173" s="26"/>
      <c r="N173" s="26">
        <f>+[1]L.KIRDAR!L225</f>
        <v>2317340.6599999992</v>
      </c>
      <c r="O173" s="26"/>
      <c r="P173" s="26"/>
      <c r="Q173" s="26">
        <f>+[1]L.KIRDAR!O225</f>
        <v>2080299.39</v>
      </c>
      <c r="R173" s="26"/>
      <c r="S173" s="26"/>
      <c r="T173" s="26">
        <f>+[1]L.KIRDAR!R225</f>
        <v>1713721.4500000002</v>
      </c>
      <c r="U173" s="26"/>
      <c r="V173" s="26"/>
      <c r="W173" s="26">
        <f>+[1]L.KIRDAR!U225</f>
        <v>841646.83000000007</v>
      </c>
      <c r="X173" s="26"/>
      <c r="Y173" s="26"/>
      <c r="Z173" s="26">
        <f>+[1]L.KIRDAR!X225</f>
        <v>0</v>
      </c>
      <c r="AA173" s="26"/>
      <c r="AB173" s="26"/>
      <c r="AC173" s="26">
        <f>+[1]L.KIRDAR!AA225</f>
        <v>0</v>
      </c>
      <c r="AD173" s="26"/>
      <c r="AE173" s="26"/>
      <c r="AF173" s="26">
        <f>+[1]L.KIRDAR!AD225</f>
        <v>0</v>
      </c>
      <c r="AG173" s="26"/>
      <c r="AH173" s="26"/>
      <c r="AI173" s="26">
        <f>+[1]L.KIRDAR!AG225</f>
        <v>0</v>
      </c>
      <c r="AJ173" s="27"/>
      <c r="AK173" s="27"/>
      <c r="AL173" s="78">
        <f>+[1]L.KIRDAR!AJ225</f>
        <v>0</v>
      </c>
    </row>
    <row r="174" spans="1:38" x14ac:dyDescent="0.25">
      <c r="A174" s="73" t="s">
        <v>62</v>
      </c>
      <c r="B174" s="6" t="s">
        <v>63</v>
      </c>
      <c r="C174" s="7" t="s">
        <v>27</v>
      </c>
      <c r="D174" s="8" t="s">
        <v>23</v>
      </c>
      <c r="E174" s="28">
        <f>+[1]L.KIRDAR!C226</f>
        <v>317948.68</v>
      </c>
      <c r="F174" s="29"/>
      <c r="G174" s="29"/>
      <c r="H174" s="30">
        <f>+[1]L.KIRDAR!F226</f>
        <v>202307.78999999998</v>
      </c>
      <c r="I174" s="30"/>
      <c r="J174" s="30"/>
      <c r="K174" s="30">
        <f>+[1]L.KIRDAR!I226</f>
        <v>127586.84</v>
      </c>
      <c r="L174" s="30"/>
      <c r="M174" s="30"/>
      <c r="N174" s="30">
        <f>+[1]L.KIRDAR!L226</f>
        <v>420664.41000000003</v>
      </c>
      <c r="O174" s="30"/>
      <c r="P174" s="30"/>
      <c r="Q174" s="30">
        <f>+[1]L.KIRDAR!O226</f>
        <v>241255.73000000004</v>
      </c>
      <c r="R174" s="30"/>
      <c r="S174" s="30"/>
      <c r="T174" s="30">
        <f>+[1]L.KIRDAR!R226</f>
        <v>423940.47000000003</v>
      </c>
      <c r="U174" s="30"/>
      <c r="V174" s="30"/>
      <c r="W174" s="30">
        <f>+[1]L.KIRDAR!U226</f>
        <v>224378.12</v>
      </c>
      <c r="X174" s="30"/>
      <c r="Y174" s="30"/>
      <c r="Z174" s="30">
        <f>+[1]L.KIRDAR!X226</f>
        <v>0</v>
      </c>
      <c r="AA174" s="30"/>
      <c r="AB174" s="30"/>
      <c r="AC174" s="30">
        <f>+[1]L.KIRDAR!AA226</f>
        <v>0</v>
      </c>
      <c r="AD174" s="30"/>
      <c r="AE174" s="30"/>
      <c r="AF174" s="30">
        <f>+[1]L.KIRDAR!AD226</f>
        <v>0</v>
      </c>
      <c r="AG174" s="30"/>
      <c r="AH174" s="30"/>
      <c r="AI174" s="30">
        <f>+[1]L.KIRDAR!AG226</f>
        <v>0</v>
      </c>
      <c r="AJ174" s="31"/>
      <c r="AK174" s="31"/>
      <c r="AL174" s="79">
        <f>+[1]L.KIRDAR!AJ226</f>
        <v>0</v>
      </c>
    </row>
    <row r="175" spans="1:38" x14ac:dyDescent="0.25">
      <c r="A175" s="73" t="s">
        <v>62</v>
      </c>
      <c r="B175" s="6" t="s">
        <v>63</v>
      </c>
      <c r="C175" s="7" t="s">
        <v>28</v>
      </c>
      <c r="D175" s="8" t="s">
        <v>29</v>
      </c>
      <c r="E175" s="124">
        <f>+[1]L.KIRDAR!C209</f>
        <v>30.43</v>
      </c>
      <c r="F175" s="125"/>
      <c r="G175" s="125"/>
      <c r="H175" s="126">
        <f>+[1]L.KIRDAR!F209</f>
        <v>31.73</v>
      </c>
      <c r="I175" s="126"/>
      <c r="J175" s="126"/>
      <c r="K175" s="126">
        <f>+[1]L.KIRDAR!I209</f>
        <v>29</v>
      </c>
      <c r="L175" s="126"/>
      <c r="M175" s="126"/>
      <c r="N175" s="126">
        <f>+[1]L.KIRDAR!L209</f>
        <v>28.07</v>
      </c>
      <c r="O175" s="126"/>
      <c r="P175" s="126"/>
      <c r="Q175" s="126">
        <f>+[1]L.KIRDAR!O209</f>
        <v>29.07</v>
      </c>
      <c r="R175" s="126"/>
      <c r="S175" s="126"/>
      <c r="T175" s="126">
        <f>+[1]L.KIRDAR!R209</f>
        <v>29.6</v>
      </c>
      <c r="U175" s="126"/>
      <c r="V175" s="126"/>
      <c r="W175" s="126">
        <f>+[1]L.KIRDAR!U209</f>
        <v>31</v>
      </c>
      <c r="X175" s="126"/>
      <c r="Y175" s="126"/>
      <c r="Z175" s="126">
        <f>+[1]L.KIRDAR!X209</f>
        <v>0</v>
      </c>
      <c r="AA175" s="126"/>
      <c r="AB175" s="126"/>
      <c r="AC175" s="126">
        <f>+[1]L.KIRDAR!AA209</f>
        <v>0</v>
      </c>
      <c r="AD175" s="126"/>
      <c r="AE175" s="126"/>
      <c r="AF175" s="126">
        <f>+[1]L.KIRDAR!AD209</f>
        <v>0</v>
      </c>
      <c r="AG175" s="126"/>
      <c r="AH175" s="126"/>
      <c r="AI175" s="126">
        <f>+[1]L.KIRDAR!AG209</f>
        <v>0</v>
      </c>
      <c r="AJ175" s="127"/>
      <c r="AK175" s="127"/>
      <c r="AL175" s="128">
        <f>+[1]L.KIRDAR!AJ209</f>
        <v>0</v>
      </c>
    </row>
    <row r="176" spans="1:38" x14ac:dyDescent="0.25">
      <c r="A176" s="85" t="s">
        <v>62</v>
      </c>
      <c r="B176" s="32" t="s">
        <v>63</v>
      </c>
      <c r="C176" s="33" t="s">
        <v>30</v>
      </c>
      <c r="D176" s="34" t="s">
        <v>29</v>
      </c>
      <c r="E176" s="129">
        <f>+[1]L.KIRDAR!C210</f>
        <v>7</v>
      </c>
      <c r="F176" s="130"/>
      <c r="G176" s="130"/>
      <c r="H176" s="131">
        <f>+[1]L.KIRDAR!F210</f>
        <v>7</v>
      </c>
      <c r="I176" s="131"/>
      <c r="J176" s="131"/>
      <c r="K176" s="131">
        <f>+[1]L.KIRDAR!I210</f>
        <v>7</v>
      </c>
      <c r="L176" s="131"/>
      <c r="M176" s="131"/>
      <c r="N176" s="131">
        <f>+[1]L.KIRDAR!L210</f>
        <v>7</v>
      </c>
      <c r="O176" s="131"/>
      <c r="P176" s="131"/>
      <c r="Q176" s="131">
        <f>+[1]L.KIRDAR!O210</f>
        <v>7</v>
      </c>
      <c r="R176" s="131"/>
      <c r="S176" s="131"/>
      <c r="T176" s="131">
        <f>+[1]L.KIRDAR!R210</f>
        <v>7</v>
      </c>
      <c r="U176" s="131"/>
      <c r="V176" s="131"/>
      <c r="W176" s="131">
        <f>+[1]L.KIRDAR!U210</f>
        <v>7</v>
      </c>
      <c r="X176" s="131"/>
      <c r="Y176" s="131"/>
      <c r="Z176" s="131">
        <f>+[1]L.KIRDAR!X210</f>
        <v>0</v>
      </c>
      <c r="AA176" s="131"/>
      <c r="AB176" s="131"/>
      <c r="AC176" s="131">
        <f>+[1]L.KIRDAR!AA210</f>
        <v>0</v>
      </c>
      <c r="AD176" s="131"/>
      <c r="AE176" s="131"/>
      <c r="AF176" s="131">
        <f>+[1]L.KIRDAR!AD210</f>
        <v>0</v>
      </c>
      <c r="AG176" s="131"/>
      <c r="AH176" s="131"/>
      <c r="AI176" s="131">
        <f>+[1]L.KIRDAR!AG210</f>
        <v>0</v>
      </c>
      <c r="AJ176" s="132"/>
      <c r="AK176" s="132"/>
      <c r="AL176" s="133">
        <f>+[1]L.KIRDAR!AJ210</f>
        <v>0</v>
      </c>
    </row>
    <row r="177" spans="1:38" x14ac:dyDescent="0.25">
      <c r="A177" s="85" t="s">
        <v>62</v>
      </c>
      <c r="B177" s="32" t="s">
        <v>63</v>
      </c>
      <c r="C177" s="33" t="s">
        <v>31</v>
      </c>
      <c r="D177" s="34" t="s">
        <v>29</v>
      </c>
      <c r="E177" s="129">
        <f>+[1]L.KIRDAR!C211</f>
        <v>0.4</v>
      </c>
      <c r="F177" s="130"/>
      <c r="G177" s="130"/>
      <c r="H177" s="131">
        <f>+[1]L.KIRDAR!F211</f>
        <v>0.33</v>
      </c>
      <c r="I177" s="131"/>
      <c r="J177" s="131"/>
      <c r="K177" s="131">
        <f>+[1]L.KIRDAR!I211</f>
        <v>2.27</v>
      </c>
      <c r="L177" s="131"/>
      <c r="M177" s="131"/>
      <c r="N177" s="131">
        <f>+[1]L.KIRDAR!L211</f>
        <v>15.1</v>
      </c>
      <c r="O177" s="131"/>
      <c r="P177" s="131"/>
      <c r="Q177" s="131">
        <f>+[1]L.KIRDAR!O211</f>
        <v>16.13</v>
      </c>
      <c r="R177" s="131"/>
      <c r="S177" s="131"/>
      <c r="T177" s="131">
        <f>+[1]L.KIRDAR!R211</f>
        <v>4.0999999999999996</v>
      </c>
      <c r="U177" s="131"/>
      <c r="V177" s="131"/>
      <c r="W177" s="131">
        <f>+[1]L.KIRDAR!U211</f>
        <v>0.1</v>
      </c>
      <c r="X177" s="131"/>
      <c r="Y177" s="131"/>
      <c r="Z177" s="131">
        <f>+[1]L.KIRDAR!X211</f>
        <v>0</v>
      </c>
      <c r="AA177" s="131"/>
      <c r="AB177" s="131"/>
      <c r="AC177" s="131">
        <f>+[1]L.KIRDAR!AA211</f>
        <v>0</v>
      </c>
      <c r="AD177" s="131"/>
      <c r="AE177" s="131"/>
      <c r="AF177" s="131">
        <f>+[1]L.KIRDAR!AD211</f>
        <v>0</v>
      </c>
      <c r="AG177" s="131"/>
      <c r="AH177" s="131"/>
      <c r="AI177" s="131">
        <f>+[1]L.KIRDAR!AG211</f>
        <v>0</v>
      </c>
      <c r="AJ177" s="132"/>
      <c r="AK177" s="132"/>
      <c r="AL177" s="133">
        <f>+[1]L.KIRDAR!AJ211</f>
        <v>0</v>
      </c>
    </row>
    <row r="178" spans="1:38" x14ac:dyDescent="0.25">
      <c r="A178" s="85" t="s">
        <v>62</v>
      </c>
      <c r="B178" s="32" t="s">
        <v>63</v>
      </c>
      <c r="C178" s="33" t="s">
        <v>32</v>
      </c>
      <c r="D178" s="34" t="s">
        <v>29</v>
      </c>
      <c r="E178" s="129">
        <f>+[1]L.KIRDAR!C212</f>
        <v>0</v>
      </c>
      <c r="F178" s="130"/>
      <c r="G178" s="130"/>
      <c r="H178" s="131">
        <f>+[1]L.KIRDAR!F212</f>
        <v>0</v>
      </c>
      <c r="I178" s="131"/>
      <c r="J178" s="131"/>
      <c r="K178" s="131">
        <f>+[1]L.KIRDAR!I212</f>
        <v>0</v>
      </c>
      <c r="L178" s="131"/>
      <c r="M178" s="131"/>
      <c r="N178" s="131">
        <f>+[1]L.KIRDAR!L212</f>
        <v>0</v>
      </c>
      <c r="O178" s="131"/>
      <c r="P178" s="131"/>
      <c r="Q178" s="131">
        <f>+[1]L.KIRDAR!O212</f>
        <v>0</v>
      </c>
      <c r="R178" s="131"/>
      <c r="S178" s="131"/>
      <c r="T178" s="131">
        <f>+[1]L.KIRDAR!R212</f>
        <v>0</v>
      </c>
      <c r="U178" s="131"/>
      <c r="V178" s="131"/>
      <c r="W178" s="131">
        <f>+[1]L.KIRDAR!U212</f>
        <v>0</v>
      </c>
      <c r="X178" s="131"/>
      <c r="Y178" s="131"/>
      <c r="Z178" s="131">
        <f>+[1]L.KIRDAR!X212</f>
        <v>0</v>
      </c>
      <c r="AA178" s="131"/>
      <c r="AB178" s="131"/>
      <c r="AC178" s="131">
        <f>+[1]L.KIRDAR!AA212</f>
        <v>0</v>
      </c>
      <c r="AD178" s="131"/>
      <c r="AE178" s="131"/>
      <c r="AF178" s="131">
        <f>+[1]L.KIRDAR!AD212</f>
        <v>0</v>
      </c>
      <c r="AG178" s="131"/>
      <c r="AH178" s="131"/>
      <c r="AI178" s="131">
        <f>+[1]L.KIRDAR!AG212</f>
        <v>0</v>
      </c>
      <c r="AJ178" s="132"/>
      <c r="AK178" s="132"/>
      <c r="AL178" s="133">
        <f>+[1]L.KIRDAR!AJ212</f>
        <v>0</v>
      </c>
    </row>
    <row r="179" spans="1:38" x14ac:dyDescent="0.25">
      <c r="A179" s="85" t="s">
        <v>62</v>
      </c>
      <c r="B179" s="32" t="s">
        <v>63</v>
      </c>
      <c r="C179" s="33" t="s">
        <v>33</v>
      </c>
      <c r="D179" s="34" t="s">
        <v>29</v>
      </c>
      <c r="E179" s="129">
        <f>SUM(E175:E178)</f>
        <v>37.83</v>
      </c>
      <c r="F179" s="130"/>
      <c r="G179" s="130"/>
      <c r="H179" s="129">
        <f>SUM(H175:H178)</f>
        <v>39.06</v>
      </c>
      <c r="I179" s="131"/>
      <c r="J179" s="131"/>
      <c r="K179" s="129">
        <f>SUM(K175:K178)</f>
        <v>38.270000000000003</v>
      </c>
      <c r="L179" s="131"/>
      <c r="M179" s="131"/>
      <c r="N179" s="129">
        <f>SUM(N175:N178)</f>
        <v>50.17</v>
      </c>
      <c r="O179" s="131"/>
      <c r="P179" s="131"/>
      <c r="Q179" s="129">
        <f>SUM(Q175:Q178)</f>
        <v>52.2</v>
      </c>
      <c r="R179" s="131"/>
      <c r="S179" s="131"/>
      <c r="T179" s="129">
        <f>SUM(T175:T178)</f>
        <v>40.700000000000003</v>
      </c>
      <c r="U179" s="131"/>
      <c r="V179" s="131"/>
      <c r="W179" s="129">
        <f>SUM(W175:W178)</f>
        <v>38.1</v>
      </c>
      <c r="X179" s="131"/>
      <c r="Y179" s="131"/>
      <c r="Z179" s="129">
        <f>SUM(Z175:Z178)</f>
        <v>0</v>
      </c>
      <c r="AA179" s="131"/>
      <c r="AB179" s="131"/>
      <c r="AC179" s="129">
        <f>SUM(AC175:AC178)</f>
        <v>0</v>
      </c>
      <c r="AD179" s="131"/>
      <c r="AE179" s="131"/>
      <c r="AF179" s="129">
        <f>SUM(AF175:AF178)</f>
        <v>0</v>
      </c>
      <c r="AG179" s="131"/>
      <c r="AH179" s="131"/>
      <c r="AI179" s="129">
        <f>SUM(AI175:AI178)</f>
        <v>0</v>
      </c>
      <c r="AJ179" s="132"/>
      <c r="AK179" s="132"/>
      <c r="AL179" s="134">
        <f>SUM(AL175:AL178)</f>
        <v>0</v>
      </c>
    </row>
    <row r="180" spans="1:38" x14ac:dyDescent="0.25">
      <c r="A180" s="85" t="s">
        <v>62</v>
      </c>
      <c r="B180" s="32" t="s">
        <v>63</v>
      </c>
      <c r="C180" s="33" t="s">
        <v>34</v>
      </c>
      <c r="D180" s="34" t="s">
        <v>23</v>
      </c>
      <c r="E180" s="35">
        <f>+[1]L.KIRDAR!C216+[1]L.KIRDAR!C217+[1]L.KIRDAR!C218+[1]L.KIRDAR!C219</f>
        <v>2307976.1399999997</v>
      </c>
      <c r="F180" s="36"/>
      <c r="G180" s="36"/>
      <c r="H180" s="35">
        <f>+[1]L.KIRDAR!F216+[1]L.KIRDAR!F217+[1]L.KIRDAR!F218+[1]L.KIRDAR!F219</f>
        <v>2581004.25</v>
      </c>
      <c r="I180" s="18"/>
      <c r="J180" s="18"/>
      <c r="K180" s="35">
        <f>+[1]L.KIRDAR!I216+[1]L.KIRDAR!I217+[1]L.KIRDAR!I218+[1]L.KIRDAR!I219</f>
        <v>2720954.1969571933</v>
      </c>
      <c r="L180" s="18"/>
      <c r="M180" s="18"/>
      <c r="N180" s="35">
        <f>+[1]L.KIRDAR!L216+[1]L.KIRDAR!L217+[1]L.KIRDAR!L218+[1]L.KIRDAR!L219</f>
        <v>3230075.0340505959</v>
      </c>
      <c r="O180" s="18"/>
      <c r="P180" s="18"/>
      <c r="Q180" s="35">
        <f>+[1]L.KIRDAR!O216+[1]L.KIRDAR!O217+[1]L.KIRDAR!O218+[1]L.KIRDAR!O219</f>
        <v>3434803.2238417519</v>
      </c>
      <c r="R180" s="18"/>
      <c r="S180" s="18"/>
      <c r="T180" s="35">
        <f>+[1]L.KIRDAR!R216+[1]L.KIRDAR!R217+[1]L.KIRDAR!R218+[1]L.KIRDAR!R219</f>
        <v>3899417.4363282863</v>
      </c>
      <c r="U180" s="18"/>
      <c r="V180" s="18"/>
      <c r="W180" s="35">
        <f>+[1]L.KIRDAR!U216+[1]L.KIRDAR!U217+[1]L.KIRDAR!U218+[1]L.KIRDAR!U219</f>
        <v>3353335.4692955874</v>
      </c>
      <c r="X180" s="18"/>
      <c r="Y180" s="18"/>
      <c r="Z180" s="35">
        <f>+[1]L.KIRDAR!X216+[1]L.KIRDAR!X217+[1]L.KIRDAR!X218+[1]L.KIRDAR!X219</f>
        <v>0</v>
      </c>
      <c r="AA180" s="18"/>
      <c r="AB180" s="18"/>
      <c r="AC180" s="35">
        <f>+[1]L.KIRDAR!AA216+[1]L.KIRDAR!AA217+[1]L.KIRDAR!AA218+[1]L.KIRDAR!AA219</f>
        <v>0</v>
      </c>
      <c r="AD180" s="18"/>
      <c r="AE180" s="18"/>
      <c r="AF180" s="35">
        <f>+[1]L.KIRDAR!AD216+[1]L.KIRDAR!AD217+[1]L.KIRDAR!AD218+[1]L.KIRDAR!AD219</f>
        <v>0</v>
      </c>
      <c r="AG180" s="18"/>
      <c r="AH180" s="18"/>
      <c r="AI180" s="35">
        <f>+[1]L.KIRDAR!AG216+[1]L.KIRDAR!AG217+[1]L.KIRDAR!AG218+[1]L.KIRDAR!AG219</f>
        <v>0</v>
      </c>
      <c r="AJ180" s="19"/>
      <c r="AK180" s="19"/>
      <c r="AL180" s="92">
        <f>+[1]L.KIRDAR!AJ216+[1]L.KIRDAR!AJ217+[1]L.KIRDAR!AJ218+[1]L.KIRDAR!AJ219</f>
        <v>0</v>
      </c>
    </row>
    <row r="181" spans="1:38" x14ac:dyDescent="0.25">
      <c r="A181" s="85" t="s">
        <v>62</v>
      </c>
      <c r="B181" s="32" t="s">
        <v>63</v>
      </c>
      <c r="C181" s="33" t="s">
        <v>35</v>
      </c>
      <c r="D181" s="34" t="s">
        <v>23</v>
      </c>
      <c r="E181" s="35">
        <f>+[1]L.KIRDAR!C220</f>
        <v>513914.27999999997</v>
      </c>
      <c r="F181" s="36"/>
      <c r="G181" s="36"/>
      <c r="H181" s="35">
        <f>+[1]L.KIRDAR!F220</f>
        <v>532475.54999999993</v>
      </c>
      <c r="I181" s="18"/>
      <c r="J181" s="18"/>
      <c r="K181" s="35">
        <f>+[1]L.KIRDAR!I220</f>
        <v>480101.37</v>
      </c>
      <c r="L181" s="18"/>
      <c r="M181" s="18"/>
      <c r="N181" s="35">
        <f>+[1]L.KIRDAR!L220</f>
        <v>443989.50999999995</v>
      </c>
      <c r="O181" s="18"/>
      <c r="P181" s="18"/>
      <c r="Q181" s="35">
        <f>+[1]L.KIRDAR!O220</f>
        <v>465848.54</v>
      </c>
      <c r="R181" s="18"/>
      <c r="S181" s="18"/>
      <c r="T181" s="35">
        <f>+[1]L.KIRDAR!R220</f>
        <v>441655.82</v>
      </c>
      <c r="U181" s="18"/>
      <c r="V181" s="18"/>
      <c r="W181" s="35">
        <f>+[1]L.KIRDAR!U220</f>
        <v>460762.18999999994</v>
      </c>
      <c r="X181" s="18"/>
      <c r="Y181" s="18"/>
      <c r="Z181" s="35">
        <f>+[1]L.KIRDAR!X220</f>
        <v>0</v>
      </c>
      <c r="AA181" s="18"/>
      <c r="AB181" s="18"/>
      <c r="AC181" s="35">
        <f>+[1]L.KIRDAR!AA220</f>
        <v>0</v>
      </c>
      <c r="AD181" s="18"/>
      <c r="AE181" s="18"/>
      <c r="AF181" s="35">
        <f>+[1]L.KIRDAR!AD220</f>
        <v>0</v>
      </c>
      <c r="AG181" s="18"/>
      <c r="AH181" s="18"/>
      <c r="AI181" s="35">
        <f>+[1]L.KIRDAR!AG220</f>
        <v>0</v>
      </c>
      <c r="AJ181" s="19"/>
      <c r="AK181" s="19"/>
      <c r="AL181" s="92">
        <f>+[1]L.KIRDAR!AJ220</f>
        <v>0</v>
      </c>
    </row>
    <row r="182" spans="1:38" x14ac:dyDescent="0.25">
      <c r="A182" s="85" t="s">
        <v>62</v>
      </c>
      <c r="B182" s="32" t="s">
        <v>63</v>
      </c>
      <c r="C182" s="33" t="s">
        <v>36</v>
      </c>
      <c r="D182" s="34" t="s">
        <v>23</v>
      </c>
      <c r="E182" s="35">
        <f>+[1]L.KIRDAR!C221</f>
        <v>35032.800000000003</v>
      </c>
      <c r="F182" s="36"/>
      <c r="G182" s="36"/>
      <c r="H182" s="35">
        <f>+[1]L.KIRDAR!F221</f>
        <v>26664</v>
      </c>
      <c r="I182" s="18"/>
      <c r="J182" s="18"/>
      <c r="K182" s="35">
        <f>+[1]L.KIRDAR!I221</f>
        <v>22321.8</v>
      </c>
      <c r="L182" s="18"/>
      <c r="M182" s="18"/>
      <c r="N182" s="35">
        <f>+[1]L.KIRDAR!L221</f>
        <v>172218.30000000002</v>
      </c>
      <c r="O182" s="18"/>
      <c r="P182" s="18"/>
      <c r="Q182" s="35">
        <f>+[1]L.KIRDAR!O221</f>
        <v>161483.85</v>
      </c>
      <c r="R182" s="18"/>
      <c r="S182" s="18"/>
      <c r="T182" s="35">
        <f>+[1]L.KIRDAR!R221</f>
        <v>328367.15999999997</v>
      </c>
      <c r="U182" s="18"/>
      <c r="V182" s="18"/>
      <c r="W182" s="35">
        <f>+[1]L.KIRDAR!U221</f>
        <v>7999.2</v>
      </c>
      <c r="X182" s="18"/>
      <c r="Y182" s="18"/>
      <c r="Z182" s="35">
        <f>+[1]L.KIRDAR!X221</f>
        <v>0</v>
      </c>
      <c r="AA182" s="18"/>
      <c r="AB182" s="18"/>
      <c r="AC182" s="35">
        <f>+[1]L.KIRDAR!AA221</f>
        <v>0</v>
      </c>
      <c r="AD182" s="18"/>
      <c r="AE182" s="18"/>
      <c r="AF182" s="35">
        <f>+[1]L.KIRDAR!AD221</f>
        <v>0</v>
      </c>
      <c r="AG182" s="18"/>
      <c r="AH182" s="18"/>
      <c r="AI182" s="35">
        <f>+[1]L.KIRDAR!AG221</f>
        <v>0</v>
      </c>
      <c r="AJ182" s="19"/>
      <c r="AK182" s="19"/>
      <c r="AL182" s="92">
        <f>+[1]L.KIRDAR!AJ221</f>
        <v>0</v>
      </c>
    </row>
    <row r="183" spans="1:38" x14ac:dyDescent="0.25">
      <c r="A183" s="85" t="s">
        <v>62</v>
      </c>
      <c r="B183" s="32" t="s">
        <v>63</v>
      </c>
      <c r="C183" s="33" t="s">
        <v>37</v>
      </c>
      <c r="D183" s="34" t="s">
        <v>23</v>
      </c>
      <c r="E183" s="37">
        <f>SUM(E180:E182)</f>
        <v>2856923.2199999993</v>
      </c>
      <c r="F183" s="38"/>
      <c r="G183" s="38"/>
      <c r="H183" s="37">
        <f>SUM(H180:H182)</f>
        <v>3140143.8</v>
      </c>
      <c r="I183" s="39"/>
      <c r="J183" s="39"/>
      <c r="K183" s="37">
        <f>SUM(K180:K182)</f>
        <v>3223377.3669571932</v>
      </c>
      <c r="L183" s="39"/>
      <c r="M183" s="39"/>
      <c r="N183" s="37">
        <f>SUM(N180:N182)</f>
        <v>3846282.8440505955</v>
      </c>
      <c r="O183" s="39"/>
      <c r="P183" s="39"/>
      <c r="Q183" s="37">
        <f>SUM(Q180:Q182)</f>
        <v>4062135.6138417521</v>
      </c>
      <c r="R183" s="39"/>
      <c r="S183" s="39"/>
      <c r="T183" s="37">
        <f>SUM(T180:T182)</f>
        <v>4669440.4163282868</v>
      </c>
      <c r="U183" s="39"/>
      <c r="V183" s="39"/>
      <c r="W183" s="37">
        <f>SUM(W180:W182)</f>
        <v>3822096.8592955875</v>
      </c>
      <c r="X183" s="39"/>
      <c r="Y183" s="39"/>
      <c r="Z183" s="37">
        <f>SUM(Z180:Z182)</f>
        <v>0</v>
      </c>
      <c r="AA183" s="39"/>
      <c r="AB183" s="39"/>
      <c r="AC183" s="37">
        <f>SUM(AC180:AC182)</f>
        <v>0</v>
      </c>
      <c r="AD183" s="39"/>
      <c r="AE183" s="39"/>
      <c r="AF183" s="37">
        <f>SUM(AF180:AF182)</f>
        <v>0</v>
      </c>
      <c r="AG183" s="39"/>
      <c r="AH183" s="39"/>
      <c r="AI183" s="37">
        <f>SUM(AI180:AI182)</f>
        <v>0</v>
      </c>
      <c r="AJ183" s="40"/>
      <c r="AK183" s="40"/>
      <c r="AL183" s="93">
        <f>SUM(AL180:AL182)</f>
        <v>0</v>
      </c>
    </row>
    <row r="184" spans="1:38" x14ac:dyDescent="0.25">
      <c r="A184" s="73" t="s">
        <v>62</v>
      </c>
      <c r="B184" s="6" t="s">
        <v>63</v>
      </c>
      <c r="C184" s="7" t="s">
        <v>38</v>
      </c>
      <c r="D184" s="8" t="s">
        <v>23</v>
      </c>
      <c r="E184" s="28">
        <f>IFERROR(E183/E179,0)</f>
        <v>75520.042823156211</v>
      </c>
      <c r="F184" s="29"/>
      <c r="G184" s="29"/>
      <c r="H184" s="28">
        <f>IFERROR(H183/H179,0)</f>
        <v>80392.826420890924</v>
      </c>
      <c r="I184" s="30"/>
      <c r="J184" s="30"/>
      <c r="K184" s="28">
        <f>IFERROR(K183/K179,0)</f>
        <v>84227.263312181676</v>
      </c>
      <c r="L184" s="30"/>
      <c r="M184" s="30"/>
      <c r="N184" s="28">
        <f>IFERROR(N183/N179,0)</f>
        <v>76664.995894969019</v>
      </c>
      <c r="O184" s="30"/>
      <c r="P184" s="30"/>
      <c r="Q184" s="28">
        <f>IFERROR(Q183/Q179,0)</f>
        <v>77818.689920340068</v>
      </c>
      <c r="R184" s="30"/>
      <c r="S184" s="30"/>
      <c r="T184" s="28">
        <f>IFERROR(T183/T179,0)</f>
        <v>114728.26575745175</v>
      </c>
      <c r="U184" s="30"/>
      <c r="V184" s="30"/>
      <c r="W184" s="28">
        <f>IFERROR(W183/W179,0)</f>
        <v>100317.50286865058</v>
      </c>
      <c r="X184" s="30"/>
      <c r="Y184" s="30"/>
      <c r="Z184" s="28">
        <f>IFERROR(Z183/Z179,0)</f>
        <v>0</v>
      </c>
      <c r="AA184" s="30"/>
      <c r="AB184" s="30"/>
      <c r="AC184" s="28">
        <f>IFERROR(AC183/AC179,0)</f>
        <v>0</v>
      </c>
      <c r="AD184" s="30"/>
      <c r="AE184" s="30"/>
      <c r="AF184" s="28">
        <f>IFERROR(AF183/AF179,0)</f>
        <v>0</v>
      </c>
      <c r="AG184" s="30"/>
      <c r="AH184" s="30"/>
      <c r="AI184" s="28">
        <f>IFERROR(AI183/AI179,0)</f>
        <v>0</v>
      </c>
      <c r="AJ184" s="31"/>
      <c r="AK184" s="31"/>
      <c r="AL184" s="94">
        <f>IFERROR(AL183/AL179,0)</f>
        <v>0</v>
      </c>
    </row>
    <row r="185" spans="1:38" x14ac:dyDescent="0.25">
      <c r="A185" s="73" t="s">
        <v>62</v>
      </c>
      <c r="B185" s="6" t="s">
        <v>63</v>
      </c>
      <c r="C185" s="7" t="s">
        <v>39</v>
      </c>
      <c r="D185" s="8" t="s">
        <v>23</v>
      </c>
      <c r="E185" s="41">
        <f>+[1]L.KIRDAR!C245</f>
        <v>118685.15</v>
      </c>
      <c r="F185" s="42"/>
      <c r="G185" s="42"/>
      <c r="H185" s="43">
        <f>+[1]L.KIRDAR!F245</f>
        <v>185952.62</v>
      </c>
      <c r="I185" s="43"/>
      <c r="J185" s="43"/>
      <c r="K185" s="43">
        <f>+[1]L.KIRDAR!I245</f>
        <v>116747.82</v>
      </c>
      <c r="L185" s="43"/>
      <c r="M185" s="43"/>
      <c r="N185" s="43">
        <f>+[1]L.KIRDAR!L245</f>
        <v>142845.79</v>
      </c>
      <c r="O185" s="43"/>
      <c r="P185" s="43"/>
      <c r="Q185" s="43">
        <f>+[1]L.KIRDAR!O245</f>
        <v>42766.53</v>
      </c>
      <c r="R185" s="43"/>
      <c r="S185" s="43"/>
      <c r="T185" s="43">
        <f>+[1]L.KIRDAR!R245</f>
        <v>52898.400000000001</v>
      </c>
      <c r="U185" s="43"/>
      <c r="V185" s="43"/>
      <c r="W185" s="43">
        <f>+[1]L.KIRDAR!U245</f>
        <v>181191.25</v>
      </c>
      <c r="X185" s="43"/>
      <c r="Y185" s="43"/>
      <c r="Z185" s="43">
        <f>+[1]L.KIRDAR!X245</f>
        <v>0</v>
      </c>
      <c r="AA185" s="43"/>
      <c r="AB185" s="43"/>
      <c r="AC185" s="43">
        <f>+[1]L.KIRDAR!AA245</f>
        <v>0</v>
      </c>
      <c r="AD185" s="43"/>
      <c r="AE185" s="43"/>
      <c r="AF185" s="43">
        <f>+[1]L.KIRDAR!AD245</f>
        <v>0</v>
      </c>
      <c r="AG185" s="43"/>
      <c r="AH185" s="43"/>
      <c r="AI185" s="43">
        <f>+[1]L.KIRDAR!AG245</f>
        <v>0</v>
      </c>
      <c r="AJ185" s="44"/>
      <c r="AK185" s="44"/>
      <c r="AL185" s="95">
        <f>+[1]L.KIRDAR!AJ245</f>
        <v>0</v>
      </c>
    </row>
    <row r="186" spans="1:38" x14ac:dyDescent="0.25">
      <c r="A186" s="73" t="s">
        <v>62</v>
      </c>
      <c r="B186" s="6" t="s">
        <v>63</v>
      </c>
      <c r="C186" s="7" t="s">
        <v>40</v>
      </c>
      <c r="D186" s="34" t="s">
        <v>23</v>
      </c>
      <c r="E186" s="45">
        <f>+[1]L.KIRDAR!C246</f>
        <v>29947.43</v>
      </c>
      <c r="F186" s="46"/>
      <c r="G186" s="46"/>
      <c r="H186" s="47">
        <f>+[1]L.KIRDAR!F246</f>
        <v>46225.83</v>
      </c>
      <c r="I186" s="47"/>
      <c r="J186" s="47"/>
      <c r="K186" s="47">
        <f>+[1]L.KIRDAR!I246</f>
        <v>30196.16</v>
      </c>
      <c r="L186" s="47"/>
      <c r="M186" s="47"/>
      <c r="N186" s="47">
        <f>+[1]L.KIRDAR!L246</f>
        <v>30702.36</v>
      </c>
      <c r="O186" s="47"/>
      <c r="P186" s="47"/>
      <c r="Q186" s="47">
        <f>+[1]L.KIRDAR!O246</f>
        <v>3796.71</v>
      </c>
      <c r="R186" s="47"/>
      <c r="S186" s="47"/>
      <c r="T186" s="47">
        <f>+[1]L.KIRDAR!R246</f>
        <v>4113.2</v>
      </c>
      <c r="U186" s="47"/>
      <c r="V186" s="47"/>
      <c r="W186" s="47">
        <f>+[1]L.KIRDAR!U246</f>
        <v>5853.42</v>
      </c>
      <c r="X186" s="47"/>
      <c r="Y186" s="47"/>
      <c r="Z186" s="47">
        <f>+[1]L.KIRDAR!X246</f>
        <v>0</v>
      </c>
      <c r="AA186" s="47"/>
      <c r="AB186" s="47"/>
      <c r="AC186" s="47">
        <f>+[1]L.KIRDAR!AA246</f>
        <v>0</v>
      </c>
      <c r="AD186" s="47"/>
      <c r="AE186" s="47"/>
      <c r="AF186" s="47">
        <f>+[1]L.KIRDAR!AD246</f>
        <v>0</v>
      </c>
      <c r="AG186" s="47"/>
      <c r="AH186" s="47"/>
      <c r="AI186" s="47">
        <f>+[1]L.KIRDAR!AG246</f>
        <v>0</v>
      </c>
      <c r="AJ186" s="48"/>
      <c r="AK186" s="48"/>
      <c r="AL186" s="96">
        <f>+[1]L.KIRDAR!AJ246</f>
        <v>0</v>
      </c>
    </row>
    <row r="187" spans="1:38" x14ac:dyDescent="0.25">
      <c r="A187" s="73" t="s">
        <v>62</v>
      </c>
      <c r="B187" s="6" t="s">
        <v>63</v>
      </c>
      <c r="C187" s="7" t="s">
        <v>41</v>
      </c>
      <c r="D187" s="34" t="s">
        <v>23</v>
      </c>
      <c r="E187" s="45">
        <f>+[1]L.KIRDAR!C247</f>
        <v>21673.15</v>
      </c>
      <c r="F187" s="46"/>
      <c r="G187" s="46"/>
      <c r="H187" s="47">
        <f>+[1]L.KIRDAR!F247</f>
        <v>38982.480000000003</v>
      </c>
      <c r="I187" s="47"/>
      <c r="J187" s="47"/>
      <c r="K187" s="47">
        <f>+[1]L.KIRDAR!I247</f>
        <v>31336.63</v>
      </c>
      <c r="L187" s="47"/>
      <c r="M187" s="47"/>
      <c r="N187" s="47">
        <f>+[1]L.KIRDAR!L247</f>
        <v>41480.559999999998</v>
      </c>
      <c r="O187" s="47"/>
      <c r="P187" s="47"/>
      <c r="Q187" s="47">
        <f>+[1]L.KIRDAR!O247</f>
        <v>14091.15</v>
      </c>
      <c r="R187" s="47"/>
      <c r="S187" s="47"/>
      <c r="T187" s="47">
        <f>+[1]L.KIRDAR!R247</f>
        <v>26614.83</v>
      </c>
      <c r="U187" s="47"/>
      <c r="V187" s="47"/>
      <c r="W187" s="47">
        <f>+[1]L.KIRDAR!U247</f>
        <v>36176.400000000001</v>
      </c>
      <c r="X187" s="47"/>
      <c r="Y187" s="47"/>
      <c r="Z187" s="47">
        <f>+[1]L.KIRDAR!X247</f>
        <v>0</v>
      </c>
      <c r="AA187" s="47"/>
      <c r="AB187" s="47"/>
      <c r="AC187" s="47">
        <f>+[1]L.KIRDAR!AA247</f>
        <v>0</v>
      </c>
      <c r="AD187" s="47"/>
      <c r="AE187" s="47"/>
      <c r="AF187" s="47">
        <f>+[1]L.KIRDAR!AD247</f>
        <v>0</v>
      </c>
      <c r="AG187" s="47"/>
      <c r="AH187" s="47"/>
      <c r="AI187" s="47">
        <f>+[1]L.KIRDAR!AG247</f>
        <v>0</v>
      </c>
      <c r="AJ187" s="48"/>
      <c r="AK187" s="48"/>
      <c r="AL187" s="96">
        <f>+[1]L.KIRDAR!AJ247</f>
        <v>0</v>
      </c>
    </row>
    <row r="188" spans="1:38" x14ac:dyDescent="0.25">
      <c r="A188" s="73" t="s">
        <v>62</v>
      </c>
      <c r="B188" s="6" t="s">
        <v>63</v>
      </c>
      <c r="C188" s="7" t="s">
        <v>42</v>
      </c>
      <c r="D188" s="34" t="s">
        <v>43</v>
      </c>
      <c r="E188" s="97">
        <v>0</v>
      </c>
      <c r="F188" s="98"/>
      <c r="G188" s="98"/>
      <c r="H188" s="99">
        <v>0</v>
      </c>
      <c r="I188" s="99"/>
      <c r="J188" s="99"/>
      <c r="K188" s="99">
        <v>0</v>
      </c>
      <c r="L188" s="99"/>
      <c r="M188" s="99"/>
      <c r="N188" s="99">
        <v>0</v>
      </c>
      <c r="O188" s="99"/>
      <c r="P188" s="99"/>
      <c r="Q188" s="99">
        <v>0</v>
      </c>
      <c r="R188" s="99"/>
      <c r="S188" s="99"/>
      <c r="T188" s="99">
        <v>0</v>
      </c>
      <c r="U188" s="99"/>
      <c r="V188" s="99"/>
      <c r="W188" s="99">
        <v>0</v>
      </c>
      <c r="X188" s="99"/>
      <c r="Y188" s="99"/>
      <c r="Z188" s="99">
        <v>0</v>
      </c>
      <c r="AA188" s="99"/>
      <c r="AB188" s="99"/>
      <c r="AC188" s="99">
        <v>0</v>
      </c>
      <c r="AD188" s="99"/>
      <c r="AE188" s="99"/>
      <c r="AF188" s="99">
        <v>0</v>
      </c>
      <c r="AG188" s="99"/>
      <c r="AH188" s="99"/>
      <c r="AI188" s="99">
        <v>0</v>
      </c>
      <c r="AJ188" s="100"/>
      <c r="AK188" s="100"/>
      <c r="AL188" s="101">
        <v>0</v>
      </c>
    </row>
    <row r="189" spans="1:38" x14ac:dyDescent="0.25">
      <c r="A189" s="73" t="s">
        <v>62</v>
      </c>
      <c r="B189" s="6" t="s">
        <v>63</v>
      </c>
      <c r="C189" s="7" t="s">
        <v>44</v>
      </c>
      <c r="D189" s="34" t="s">
        <v>45</v>
      </c>
      <c r="E189" s="102">
        <v>0</v>
      </c>
      <c r="F189" s="103"/>
      <c r="G189" s="103"/>
      <c r="H189" s="104">
        <v>0</v>
      </c>
      <c r="I189" s="104"/>
      <c r="J189" s="104"/>
      <c r="K189" s="104">
        <v>0</v>
      </c>
      <c r="L189" s="104"/>
      <c r="M189" s="104"/>
      <c r="N189" s="104">
        <v>0</v>
      </c>
      <c r="O189" s="104"/>
      <c r="P189" s="104"/>
      <c r="Q189" s="104">
        <v>0</v>
      </c>
      <c r="R189" s="104"/>
      <c r="S189" s="104"/>
      <c r="T189" s="104">
        <v>0</v>
      </c>
      <c r="U189" s="104"/>
      <c r="V189" s="104"/>
      <c r="W189" s="104">
        <v>0</v>
      </c>
      <c r="X189" s="104"/>
      <c r="Y189" s="104"/>
      <c r="Z189" s="104">
        <v>0</v>
      </c>
      <c r="AA189" s="104"/>
      <c r="AB189" s="104"/>
      <c r="AC189" s="104">
        <v>0</v>
      </c>
      <c r="AD189" s="104"/>
      <c r="AE189" s="104"/>
      <c r="AF189" s="104">
        <v>0</v>
      </c>
      <c r="AG189" s="104"/>
      <c r="AH189" s="104"/>
      <c r="AI189" s="104">
        <v>0</v>
      </c>
      <c r="AJ189" s="105"/>
      <c r="AK189" s="105"/>
      <c r="AL189" s="106">
        <v>0</v>
      </c>
    </row>
    <row r="190" spans="1:38" x14ac:dyDescent="0.25">
      <c r="A190" s="73" t="s">
        <v>62</v>
      </c>
      <c r="B190" s="6" t="s">
        <v>63</v>
      </c>
      <c r="C190" s="7" t="s">
        <v>46</v>
      </c>
      <c r="D190" s="34" t="s">
        <v>45</v>
      </c>
      <c r="E190" s="107">
        <v>0</v>
      </c>
      <c r="F190" s="108"/>
      <c r="G190" s="108"/>
      <c r="H190" s="109">
        <v>0</v>
      </c>
      <c r="I190" s="109"/>
      <c r="J190" s="109"/>
      <c r="K190" s="109">
        <v>0</v>
      </c>
      <c r="L190" s="109"/>
      <c r="M190" s="109"/>
      <c r="N190" s="109">
        <v>0</v>
      </c>
      <c r="O190" s="109"/>
      <c r="P190" s="109"/>
      <c r="Q190" s="109">
        <v>0</v>
      </c>
      <c r="R190" s="109"/>
      <c r="S190" s="109"/>
      <c r="T190" s="109">
        <v>0</v>
      </c>
      <c r="U190" s="109"/>
      <c r="V190" s="109"/>
      <c r="W190" s="109">
        <v>0</v>
      </c>
      <c r="X190" s="109"/>
      <c r="Y190" s="109"/>
      <c r="Z190" s="109">
        <v>0</v>
      </c>
      <c r="AA190" s="109"/>
      <c r="AB190" s="109"/>
      <c r="AC190" s="109">
        <v>0</v>
      </c>
      <c r="AD190" s="109"/>
      <c r="AE190" s="109"/>
      <c r="AF190" s="109">
        <v>0</v>
      </c>
      <c r="AG190" s="109"/>
      <c r="AH190" s="109"/>
      <c r="AI190" s="109">
        <v>0</v>
      </c>
      <c r="AJ190" s="110"/>
      <c r="AK190" s="110"/>
      <c r="AL190" s="111">
        <v>0</v>
      </c>
    </row>
    <row r="191" spans="1:38" x14ac:dyDescent="0.25">
      <c r="A191" s="73" t="s">
        <v>62</v>
      </c>
      <c r="B191" s="6" t="s">
        <v>63</v>
      </c>
      <c r="C191" s="7" t="s">
        <v>47</v>
      </c>
      <c r="D191" s="8" t="s">
        <v>23</v>
      </c>
      <c r="E191" s="49">
        <f>IFERROR(+E185/E188,0)</f>
        <v>0</v>
      </c>
      <c r="F191" s="50"/>
      <c r="G191" s="50"/>
      <c r="H191" s="51">
        <f>IFERROR(+H185/H188,0)</f>
        <v>0</v>
      </c>
      <c r="I191" s="52"/>
      <c r="J191" s="52"/>
      <c r="K191" s="51">
        <f>IFERROR(+K185/K188,0)</f>
        <v>0</v>
      </c>
      <c r="L191" s="52"/>
      <c r="M191" s="52"/>
      <c r="N191" s="51">
        <f>IFERROR(+N185/N188,0)</f>
        <v>0</v>
      </c>
      <c r="O191" s="52"/>
      <c r="P191" s="52"/>
      <c r="Q191" s="51">
        <f>IFERROR(+Q185/Q188,0)</f>
        <v>0</v>
      </c>
      <c r="R191" s="52"/>
      <c r="S191" s="52"/>
      <c r="T191" s="51">
        <f>IFERROR(+T185/T188,0)</f>
        <v>0</v>
      </c>
      <c r="U191" s="52"/>
      <c r="V191" s="52"/>
      <c r="W191" s="51">
        <f>IFERROR(+W185/W188,0)</f>
        <v>0</v>
      </c>
      <c r="X191" s="52"/>
      <c r="Y191" s="52"/>
      <c r="Z191" s="51">
        <f>IFERROR(+Z185/Z188,0)</f>
        <v>0</v>
      </c>
      <c r="AA191" s="52"/>
      <c r="AB191" s="52"/>
      <c r="AC191" s="51">
        <f>IFERROR(+AC185/AC188,0)</f>
        <v>0</v>
      </c>
      <c r="AD191" s="52"/>
      <c r="AE191" s="52"/>
      <c r="AF191" s="51">
        <f>IFERROR(+AF185/AF188,0)</f>
        <v>0</v>
      </c>
      <c r="AG191" s="52"/>
      <c r="AH191" s="52"/>
      <c r="AI191" s="51">
        <f>IFERROR(+AI185/AI188,0)</f>
        <v>0</v>
      </c>
      <c r="AJ191" s="53"/>
      <c r="AK191" s="53"/>
      <c r="AL191" s="112">
        <f>IFERROR(+AL185/AL188,0)</f>
        <v>0</v>
      </c>
    </row>
    <row r="192" spans="1:38" x14ac:dyDescent="0.25">
      <c r="A192" s="73" t="s">
        <v>62</v>
      </c>
      <c r="B192" s="6" t="s">
        <v>63</v>
      </c>
      <c r="C192" s="7" t="s">
        <v>48</v>
      </c>
      <c r="D192" s="34" t="s">
        <v>23</v>
      </c>
      <c r="E192" s="49">
        <f>IFERROR(+E186/E189,0)</f>
        <v>0</v>
      </c>
      <c r="F192" s="50"/>
      <c r="G192" s="50"/>
      <c r="H192" s="51">
        <f>IFERROR(+H186/H189,0)</f>
        <v>0</v>
      </c>
      <c r="I192" s="52"/>
      <c r="J192" s="52"/>
      <c r="K192" s="51">
        <f>IFERROR(+K186/K189,0)</f>
        <v>0</v>
      </c>
      <c r="L192" s="52"/>
      <c r="M192" s="52"/>
      <c r="N192" s="51">
        <f>IFERROR(+N186/N189,0)</f>
        <v>0</v>
      </c>
      <c r="O192" s="52"/>
      <c r="P192" s="52"/>
      <c r="Q192" s="51">
        <f>IFERROR(+Q186/Q189,0)</f>
        <v>0</v>
      </c>
      <c r="R192" s="52"/>
      <c r="S192" s="52"/>
      <c r="T192" s="51">
        <f>IFERROR(+T186/T189,0)</f>
        <v>0</v>
      </c>
      <c r="U192" s="52"/>
      <c r="V192" s="52"/>
      <c r="W192" s="51">
        <f>IFERROR(+W186/W189,0)</f>
        <v>0</v>
      </c>
      <c r="X192" s="52"/>
      <c r="Y192" s="52"/>
      <c r="Z192" s="51">
        <f>IFERROR(+Z186/Z189,0)</f>
        <v>0</v>
      </c>
      <c r="AA192" s="52"/>
      <c r="AB192" s="52"/>
      <c r="AC192" s="51">
        <f>IFERROR(+AC186/AC189,0)</f>
        <v>0</v>
      </c>
      <c r="AD192" s="52"/>
      <c r="AE192" s="52"/>
      <c r="AF192" s="51">
        <f>IFERROR(+AF186/AF189,0)</f>
        <v>0</v>
      </c>
      <c r="AG192" s="52"/>
      <c r="AH192" s="52"/>
      <c r="AI192" s="51">
        <f>IFERROR(+AI186/AI189,0)</f>
        <v>0</v>
      </c>
      <c r="AJ192" s="53"/>
      <c r="AK192" s="53"/>
      <c r="AL192" s="112">
        <f>IFERROR(+AL186/AL189,0)</f>
        <v>0</v>
      </c>
    </row>
    <row r="193" spans="1:38" x14ac:dyDescent="0.25">
      <c r="A193" s="73" t="s">
        <v>62</v>
      </c>
      <c r="B193" s="6" t="s">
        <v>63</v>
      </c>
      <c r="C193" s="7" t="s">
        <v>49</v>
      </c>
      <c r="D193" s="34" t="s">
        <v>23</v>
      </c>
      <c r="E193" s="54">
        <f>IFERROR(+E187/E190,0)</f>
        <v>0</v>
      </c>
      <c r="F193" s="55"/>
      <c r="G193" s="55"/>
      <c r="H193" s="56">
        <f>IFERROR(+H187/H190,0)</f>
        <v>0</v>
      </c>
      <c r="I193" s="57"/>
      <c r="J193" s="57"/>
      <c r="K193" s="56">
        <f>IFERROR(+K187/K190,0)</f>
        <v>0</v>
      </c>
      <c r="L193" s="57"/>
      <c r="M193" s="57"/>
      <c r="N193" s="56">
        <f>IFERROR(+N187/N190,0)</f>
        <v>0</v>
      </c>
      <c r="O193" s="57"/>
      <c r="P193" s="57"/>
      <c r="Q193" s="56">
        <f>IFERROR(+Q187/Q190,0)</f>
        <v>0</v>
      </c>
      <c r="R193" s="57"/>
      <c r="S193" s="57"/>
      <c r="T193" s="56">
        <f>IFERROR(+T187/T190,0)</f>
        <v>0</v>
      </c>
      <c r="U193" s="57"/>
      <c r="V193" s="57"/>
      <c r="W193" s="56">
        <f>IFERROR(+W187/W190,0)</f>
        <v>0</v>
      </c>
      <c r="X193" s="57"/>
      <c r="Y193" s="57"/>
      <c r="Z193" s="56">
        <f>IFERROR(+Z187/Z190,0)</f>
        <v>0</v>
      </c>
      <c r="AA193" s="57"/>
      <c r="AB193" s="57"/>
      <c r="AC193" s="56">
        <f>IFERROR(+AC187/AC190,0)</f>
        <v>0</v>
      </c>
      <c r="AD193" s="57"/>
      <c r="AE193" s="57"/>
      <c r="AF193" s="56">
        <f>IFERROR(+AF187/AF190,0)</f>
        <v>0</v>
      </c>
      <c r="AG193" s="57"/>
      <c r="AH193" s="57"/>
      <c r="AI193" s="56">
        <f>IFERROR(+AI187/AI190,0)</f>
        <v>0</v>
      </c>
      <c r="AJ193" s="58"/>
      <c r="AK193" s="58"/>
      <c r="AL193" s="113">
        <f>IFERROR(+AL187/AL190,0)</f>
        <v>0</v>
      </c>
    </row>
    <row r="194" spans="1:38" x14ac:dyDescent="0.25">
      <c r="A194" s="73" t="s">
        <v>62</v>
      </c>
      <c r="B194" s="6" t="s">
        <v>63</v>
      </c>
      <c r="C194" s="7" t="s">
        <v>50</v>
      </c>
      <c r="D194" s="8" t="s">
        <v>23</v>
      </c>
      <c r="E194" s="59">
        <f>+[1]L.KIRDAR!C272</f>
        <v>391066.91</v>
      </c>
      <c r="F194" s="60"/>
      <c r="G194" s="60"/>
      <c r="H194" s="61">
        <f>+[1]L.KIRDAR!F272</f>
        <v>478289.25</v>
      </c>
      <c r="I194" s="61"/>
      <c r="J194" s="61"/>
      <c r="K194" s="61">
        <f>+[1]L.KIRDAR!I272</f>
        <v>382717.09</v>
      </c>
      <c r="L194" s="61"/>
      <c r="M194" s="61"/>
      <c r="N194" s="61">
        <f>+[1]L.KIRDAR!L272</f>
        <v>779233.82</v>
      </c>
      <c r="O194" s="61"/>
      <c r="P194" s="61"/>
      <c r="Q194" s="61">
        <f>+[1]L.KIRDAR!O272</f>
        <v>568134.97</v>
      </c>
      <c r="R194" s="61"/>
      <c r="S194" s="61"/>
      <c r="T194" s="61">
        <f>+[1]L.KIRDAR!R272</f>
        <v>866267.03</v>
      </c>
      <c r="U194" s="61"/>
      <c r="V194" s="61"/>
      <c r="W194" s="61">
        <f>+[1]L.KIRDAR!U272</f>
        <v>435894.44</v>
      </c>
      <c r="X194" s="61"/>
      <c r="Y194" s="61"/>
      <c r="Z194" s="61">
        <f>+[1]L.KIRDAR!X272</f>
        <v>0</v>
      </c>
      <c r="AA194" s="61"/>
      <c r="AB194" s="61"/>
      <c r="AC194" s="61">
        <f>+[1]L.KIRDAR!AA272</f>
        <v>0</v>
      </c>
      <c r="AD194" s="61"/>
      <c r="AE194" s="61"/>
      <c r="AF194" s="61">
        <f>+[1]L.KIRDAR!AD272</f>
        <v>0</v>
      </c>
      <c r="AG194" s="61"/>
      <c r="AH194" s="61"/>
      <c r="AI194" s="61">
        <f>+[1]L.KIRDAR!AG272</f>
        <v>0</v>
      </c>
      <c r="AJ194" s="62"/>
      <c r="AK194" s="62"/>
      <c r="AL194" s="114">
        <f>+[1]L.KIRDAR!AJ272</f>
        <v>0</v>
      </c>
    </row>
    <row r="195" spans="1:38" x14ac:dyDescent="0.25">
      <c r="A195" s="73" t="s">
        <v>62</v>
      </c>
      <c r="B195" s="6" t="s">
        <v>63</v>
      </c>
      <c r="C195" s="7" t="s">
        <v>51</v>
      </c>
      <c r="D195" s="8" t="s">
        <v>20</v>
      </c>
      <c r="E195" s="9"/>
      <c r="F195" s="10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2"/>
      <c r="AK195" s="12"/>
      <c r="AL195" s="74"/>
    </row>
    <row r="196" spans="1:38" x14ac:dyDescent="0.25">
      <c r="A196" s="85" t="s">
        <v>62</v>
      </c>
      <c r="B196" s="32" t="s">
        <v>63</v>
      </c>
      <c r="C196" s="33" t="s">
        <v>52</v>
      </c>
      <c r="D196" s="34" t="s">
        <v>23</v>
      </c>
      <c r="E196" s="24">
        <f>+[1]L.KIRDAR!C280</f>
        <v>506123.63497994887</v>
      </c>
      <c r="F196" s="25"/>
      <c r="G196" s="25"/>
      <c r="H196" s="26">
        <f>+[1]L.KIRDAR!F280</f>
        <v>680125.3599997774</v>
      </c>
      <c r="I196" s="26"/>
      <c r="J196" s="26"/>
      <c r="K196" s="26">
        <f>+[1]L.KIRDAR!I280</f>
        <v>542767.42185748229</v>
      </c>
      <c r="L196" s="26"/>
      <c r="M196" s="26"/>
      <c r="N196" s="26">
        <f>+[1]L.KIRDAR!L280</f>
        <v>789945.48636904429</v>
      </c>
      <c r="O196" s="26"/>
      <c r="P196" s="26"/>
      <c r="Q196" s="26">
        <f>+[1]L.KIRDAR!O280</f>
        <v>399846.17086128629</v>
      </c>
      <c r="R196" s="26"/>
      <c r="S196" s="26"/>
      <c r="T196" s="26">
        <f>+[1]L.KIRDAR!R280</f>
        <v>437551.7185214053</v>
      </c>
      <c r="U196" s="26"/>
      <c r="V196" s="26"/>
      <c r="W196" s="26">
        <f>+[1]L.KIRDAR!U280</f>
        <v>435506.63588160713</v>
      </c>
      <c r="X196" s="26"/>
      <c r="Y196" s="26"/>
      <c r="Z196" s="26">
        <f>+[1]L.KIRDAR!X280</f>
        <v>0</v>
      </c>
      <c r="AA196" s="26"/>
      <c r="AB196" s="26"/>
      <c r="AC196" s="26">
        <f>+[1]L.KIRDAR!AA280</f>
        <v>0</v>
      </c>
      <c r="AD196" s="26"/>
      <c r="AE196" s="26"/>
      <c r="AF196" s="26">
        <f>+[1]L.KIRDAR!AD280</f>
        <v>0</v>
      </c>
      <c r="AG196" s="26"/>
      <c r="AH196" s="26"/>
      <c r="AI196" s="26">
        <f>+[1]L.KIRDAR!AG280</f>
        <v>0</v>
      </c>
      <c r="AJ196" s="27"/>
      <c r="AK196" s="27"/>
      <c r="AL196" s="78">
        <f>+[1]L.KIRDAR!AJ280</f>
        <v>0</v>
      </c>
    </row>
    <row r="197" spans="1:38" x14ac:dyDescent="0.25">
      <c r="A197" s="85" t="s">
        <v>62</v>
      </c>
      <c r="B197" s="32" t="s">
        <v>63</v>
      </c>
      <c r="C197" s="33" t="s">
        <v>53</v>
      </c>
      <c r="D197" s="34" t="s">
        <v>23</v>
      </c>
      <c r="E197" s="28">
        <f>+[1]L.KIRDAR!C289-[1]L.KIRDAR!C222-[1]L.KIRDAR!C227-[1]L.KIRDAR!C244-[1]L.KIRDAR!C272-[1]L.KIRDAR!C280</f>
        <v>1463957.1200000003</v>
      </c>
      <c r="F197" s="29"/>
      <c r="G197" s="29"/>
      <c r="H197" s="30">
        <f>+[1]L.KIRDAR!F289-[1]L.KIRDAR!F222-[1]L.KIRDAR!F227-[1]L.KIRDAR!F244-[1]L.KIRDAR!F272-[1]L.KIRDAR!F280</f>
        <v>1356888.4400000009</v>
      </c>
      <c r="I197" s="30"/>
      <c r="J197" s="30"/>
      <c r="K197" s="30">
        <f>+[1]L.KIRDAR!I289-[1]L.KIRDAR!I222-[1]L.KIRDAR!I227-[1]L.KIRDAR!I244-[1]L.KIRDAR!I272-[1]L.KIRDAR!I280</f>
        <v>1030402.6200000001</v>
      </c>
      <c r="L197" s="30"/>
      <c r="M197" s="30"/>
      <c r="N197" s="30">
        <f>+[1]L.KIRDAR!L289-[1]L.KIRDAR!L222-[1]L.KIRDAR!L227-[1]L.KIRDAR!L244-[1]L.KIRDAR!L272-[1]L.KIRDAR!L280</f>
        <v>1449221.2300000002</v>
      </c>
      <c r="O197" s="30"/>
      <c r="P197" s="30"/>
      <c r="Q197" s="30">
        <f>+[1]L.KIRDAR!O289-[1]L.KIRDAR!O222-[1]L.KIRDAR!O227-[1]L.KIRDAR!O244-[1]L.KIRDAR!O272-[1]L.KIRDAR!O280</f>
        <v>1499597.4585936731</v>
      </c>
      <c r="R197" s="30"/>
      <c r="S197" s="30"/>
      <c r="T197" s="30">
        <f>+[1]L.KIRDAR!R289-[1]L.KIRDAR!R222-[1]L.KIRDAR!R227-[1]L.KIRDAR!R244-[1]L.KIRDAR!R272-[1]L.KIRDAR!R280</f>
        <v>2031932.7552144059</v>
      </c>
      <c r="U197" s="30"/>
      <c r="V197" s="30"/>
      <c r="W197" s="30">
        <f>+[1]L.KIRDAR!U289-[1]L.KIRDAR!U222-[1]L.KIRDAR!U227-[1]L.KIRDAR!U244-[1]L.KIRDAR!U272-[1]L.KIRDAR!U280</f>
        <v>1085153.8576789363</v>
      </c>
      <c r="X197" s="30"/>
      <c r="Y197" s="30"/>
      <c r="Z197" s="30">
        <f>+[1]L.KIRDAR!X289-[1]L.KIRDAR!X222-[1]L.KIRDAR!X227-[1]L.KIRDAR!X244-[1]L.KIRDAR!X272-[1]L.KIRDAR!X280</f>
        <v>0</v>
      </c>
      <c r="AA197" s="30"/>
      <c r="AB197" s="30"/>
      <c r="AC197" s="30">
        <f>+[1]L.KIRDAR!AA289-[1]L.KIRDAR!AA222-[1]L.KIRDAR!AA227-[1]L.KIRDAR!AA244-[1]L.KIRDAR!AA272-[1]L.KIRDAR!AA280</f>
        <v>0</v>
      </c>
      <c r="AD197" s="30"/>
      <c r="AE197" s="30"/>
      <c r="AF197" s="30">
        <f>+[1]L.KIRDAR!AD289-[1]L.KIRDAR!AD222-[1]L.KIRDAR!AD227-[1]L.KIRDAR!AD244-[1]L.KIRDAR!AD272-[1]L.KIRDAR!AD280</f>
        <v>0</v>
      </c>
      <c r="AG197" s="30"/>
      <c r="AH197" s="30"/>
      <c r="AI197" s="30">
        <f>+[1]L.KIRDAR!AG289-[1]L.KIRDAR!AG222-[1]L.KIRDAR!AG227-[1]L.KIRDAR!AG244-[1]L.KIRDAR!AG272-[1]L.KIRDAR!AG280</f>
        <v>0</v>
      </c>
      <c r="AJ197" s="31"/>
      <c r="AK197" s="31"/>
      <c r="AL197" s="79">
        <f>+[1]L.KIRDAR!AJ289-[1]L.KIRDAR!AJ222-[1]L.KIRDAR!AJ227-[1]L.KIRDAR!AJ244-[1]L.KIRDAR!AJ272-[1]L.KIRDAR!AJ280</f>
        <v>0</v>
      </c>
    </row>
    <row r="198" spans="1:38" x14ac:dyDescent="0.25">
      <c r="A198" s="85" t="s">
        <v>62</v>
      </c>
      <c r="B198" s="32" t="s">
        <v>63</v>
      </c>
      <c r="C198" s="33" t="s">
        <v>54</v>
      </c>
      <c r="D198" s="34" t="s">
        <v>23</v>
      </c>
      <c r="E198" s="59">
        <f>+E173+E174+E183+E185+E186+E187+E194+E196+E197</f>
        <v>6677543.2249799492</v>
      </c>
      <c r="F198" s="60"/>
      <c r="G198" s="60"/>
      <c r="H198" s="61">
        <f>+H173+H174+H183+H185+H186+H187+H194+H196+H197</f>
        <v>7390510.9599997792</v>
      </c>
      <c r="I198" s="61"/>
      <c r="J198" s="61"/>
      <c r="K198" s="61">
        <f>+K173+K174+K183+K185+K186+K187+K194+K196+K197</f>
        <v>6620282.5088146767</v>
      </c>
      <c r="L198" s="61"/>
      <c r="M198" s="61"/>
      <c r="N198" s="61">
        <f>+N173+N174+N183+N185+N186+N187+N194+N196+N197</f>
        <v>9817717.1604196392</v>
      </c>
      <c r="O198" s="61"/>
      <c r="P198" s="61"/>
      <c r="Q198" s="61">
        <f>+Q173+Q174+Q183+Q185+Q186+Q187+Q194+Q196+Q197</f>
        <v>8911923.7232967131</v>
      </c>
      <c r="R198" s="61"/>
      <c r="S198" s="61"/>
      <c r="T198" s="61">
        <f>+T173+T174+T183+T185+T186+T187+T194+T196+T197</f>
        <v>10226480.270064099</v>
      </c>
      <c r="U198" s="61"/>
      <c r="V198" s="61"/>
      <c r="W198" s="61">
        <f>+W173+W174+W183+W185+W186+W187+W194+W196+W197</f>
        <v>7067897.8128561322</v>
      </c>
      <c r="X198" s="61"/>
      <c r="Y198" s="61"/>
      <c r="Z198" s="61">
        <f>+Z173+Z174+Z183+Z185+Z186+Z187+Z194+Z196+Z197</f>
        <v>0</v>
      </c>
      <c r="AA198" s="61"/>
      <c r="AB198" s="61"/>
      <c r="AC198" s="61">
        <f>+AC173+AC174+AC183+AC185+AC186+AC187+AC194+AC196+AC197</f>
        <v>0</v>
      </c>
      <c r="AD198" s="61"/>
      <c r="AE198" s="61"/>
      <c r="AF198" s="61">
        <f>+AF173+AF174+AF183+AF185+AF186+AF187+AF194+AF196+AF197</f>
        <v>0</v>
      </c>
      <c r="AG198" s="61"/>
      <c r="AH198" s="61"/>
      <c r="AI198" s="61">
        <f>+AI173+AI174+AI183+AI185+AI186+AI187+AI194+AI196+AI197</f>
        <v>0</v>
      </c>
      <c r="AJ198" s="62"/>
      <c r="AK198" s="62"/>
      <c r="AL198" s="114">
        <f>+AL173+AL174+AL183+AL185+AL186+AL187+AL194+AL196+AL197</f>
        <v>0</v>
      </c>
    </row>
    <row r="199" spans="1:38" ht="15.75" thickBot="1" x14ac:dyDescent="0.3">
      <c r="A199" s="115" t="s">
        <v>62</v>
      </c>
      <c r="B199" s="116" t="s">
        <v>63</v>
      </c>
      <c r="C199" s="117" t="s">
        <v>55</v>
      </c>
      <c r="D199" s="118" t="s">
        <v>23</v>
      </c>
      <c r="E199" s="119">
        <f>+E198-[1]L.KIRDAR!C289</f>
        <v>0</v>
      </c>
      <c r="F199" s="120"/>
      <c r="G199" s="120"/>
      <c r="H199" s="121">
        <f>+H198-[1]L.KIRDAR!F289</f>
        <v>0</v>
      </c>
      <c r="I199" s="121"/>
      <c r="J199" s="121"/>
      <c r="K199" s="121">
        <f>+K198-[1]L.KIRDAR!I289</f>
        <v>0</v>
      </c>
      <c r="L199" s="121"/>
      <c r="M199" s="121"/>
      <c r="N199" s="121">
        <f>+N198-[1]L.KIRDAR!L289</f>
        <v>0</v>
      </c>
      <c r="O199" s="121"/>
      <c r="P199" s="121"/>
      <c r="Q199" s="121">
        <f>+Q198-[1]L.KIRDAR!O289</f>
        <v>0</v>
      </c>
      <c r="R199" s="121"/>
      <c r="S199" s="121"/>
      <c r="T199" s="121">
        <f>+T198-[1]L.KIRDAR!R289</f>
        <v>0</v>
      </c>
      <c r="U199" s="121"/>
      <c r="V199" s="121"/>
      <c r="W199" s="121">
        <f>+W198-[1]L.KIRDAR!U289</f>
        <v>0</v>
      </c>
      <c r="X199" s="121"/>
      <c r="Y199" s="121"/>
      <c r="Z199" s="121">
        <f>+Z198-[1]L.KIRDAR!X289</f>
        <v>0</v>
      </c>
      <c r="AA199" s="121"/>
      <c r="AB199" s="121"/>
      <c r="AC199" s="121">
        <f>+AC198-[1]L.KIRDAR!AA289</f>
        <v>0</v>
      </c>
      <c r="AD199" s="121"/>
      <c r="AE199" s="121"/>
      <c r="AF199" s="121">
        <f>+AF198-[1]L.KIRDAR!AD289</f>
        <v>0</v>
      </c>
      <c r="AG199" s="121"/>
      <c r="AH199" s="121"/>
      <c r="AI199" s="121">
        <f>+AI198-[1]L.KIRDAR!AG289</f>
        <v>0</v>
      </c>
      <c r="AJ199" s="122"/>
      <c r="AK199" s="122"/>
      <c r="AL199" s="123">
        <f>+AL198-[1]L.KIRDAR!AJ289</f>
        <v>0</v>
      </c>
    </row>
    <row r="200" spans="1:38" x14ac:dyDescent="0.25">
      <c r="A200" s="64" t="s">
        <v>62</v>
      </c>
      <c r="B200" s="65" t="s">
        <v>64</v>
      </c>
      <c r="C200" s="66" t="s">
        <v>19</v>
      </c>
      <c r="D200" s="67" t="s">
        <v>20</v>
      </c>
      <c r="E200" s="68">
        <f>+[1]L.KIRDAR!C302</f>
        <v>201</v>
      </c>
      <c r="F200" s="69"/>
      <c r="G200" s="69"/>
      <c r="H200" s="70">
        <f>+[1]L.KIRDAR!F302</f>
        <v>238</v>
      </c>
      <c r="I200" s="70"/>
      <c r="J200" s="70"/>
      <c r="K200" s="70">
        <f>+[1]L.KIRDAR!I302</f>
        <v>117</v>
      </c>
      <c r="L200" s="70"/>
      <c r="M200" s="70"/>
      <c r="N200" s="70">
        <f>+[1]L.KIRDAR!L302</f>
        <v>271</v>
      </c>
      <c r="O200" s="70"/>
      <c r="P200" s="70"/>
      <c r="Q200" s="70">
        <f>+[1]L.KIRDAR!O302</f>
        <v>247</v>
      </c>
      <c r="R200" s="70"/>
      <c r="S200" s="70"/>
      <c r="T200" s="70">
        <f>+[1]L.KIRDAR!R302</f>
        <v>1264</v>
      </c>
      <c r="U200" s="70"/>
      <c r="V200" s="70"/>
      <c r="W200" s="70">
        <f>+[1]L.KIRDAR!U302</f>
        <v>208</v>
      </c>
      <c r="X200" s="70"/>
      <c r="Y200" s="70"/>
      <c r="Z200" s="70">
        <f>+[1]L.KIRDAR!X302</f>
        <v>0</v>
      </c>
      <c r="AA200" s="70"/>
      <c r="AB200" s="70"/>
      <c r="AC200" s="70">
        <f>+[1]L.KIRDAR!AA302</f>
        <v>0</v>
      </c>
      <c r="AD200" s="70"/>
      <c r="AE200" s="70"/>
      <c r="AF200" s="70">
        <f>+[1]L.KIRDAR!AD302</f>
        <v>0</v>
      </c>
      <c r="AG200" s="70"/>
      <c r="AH200" s="70"/>
      <c r="AI200" s="70">
        <f>+[1]L.KIRDAR!AG302</f>
        <v>0</v>
      </c>
      <c r="AJ200" s="71"/>
      <c r="AK200" s="71"/>
      <c r="AL200" s="72">
        <f>+[1]L.KIRDAR!AJ302</f>
        <v>0</v>
      </c>
    </row>
    <row r="201" spans="1:38" x14ac:dyDescent="0.25">
      <c r="A201" s="73" t="s">
        <v>62</v>
      </c>
      <c r="B201" s="6" t="s">
        <v>64</v>
      </c>
      <c r="C201" s="7" t="s">
        <v>21</v>
      </c>
      <c r="D201" s="8" t="s">
        <v>20</v>
      </c>
      <c r="E201" s="9"/>
      <c r="F201" s="10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2"/>
      <c r="AK201" s="12"/>
      <c r="AL201" s="74"/>
    </row>
    <row r="202" spans="1:38" x14ac:dyDescent="0.25">
      <c r="A202" s="73" t="s">
        <v>62</v>
      </c>
      <c r="B202" s="6" t="s">
        <v>64</v>
      </c>
      <c r="C202" s="7" t="s">
        <v>22</v>
      </c>
      <c r="D202" s="8" t="s">
        <v>23</v>
      </c>
      <c r="E202" s="13">
        <f>+[1]L.KIRDAR!C297</f>
        <v>349636.18</v>
      </c>
      <c r="F202" s="14"/>
      <c r="G202" s="14"/>
      <c r="H202" s="15">
        <f>+[1]L.KIRDAR!F297</f>
        <v>1057679.5899999999</v>
      </c>
      <c r="I202" s="14"/>
      <c r="J202" s="14"/>
      <c r="K202" s="13">
        <f>+[1]L.KIRDAR!I297</f>
        <v>307684.65999999997</v>
      </c>
      <c r="L202" s="14"/>
      <c r="M202" s="14"/>
      <c r="N202" s="15">
        <f>+[1]L.KIRDAR!L297</f>
        <v>636794.73</v>
      </c>
      <c r="O202" s="15"/>
      <c r="P202" s="15"/>
      <c r="Q202" s="15">
        <f>+[1]L.KIRDAR!O297</f>
        <v>765540.66999999993</v>
      </c>
      <c r="R202" s="15"/>
      <c r="S202" s="15"/>
      <c r="T202" s="15">
        <f>+[1]L.KIRDAR!R297</f>
        <v>2189797.13</v>
      </c>
      <c r="U202" s="15"/>
      <c r="V202" s="15"/>
      <c r="W202" s="15">
        <f>+[1]L.KIRDAR!U297</f>
        <v>442100.34</v>
      </c>
      <c r="X202" s="15"/>
      <c r="Y202" s="15"/>
      <c r="Z202" s="15">
        <f>+[1]L.KIRDAR!X297</f>
        <v>0</v>
      </c>
      <c r="AA202" s="15"/>
      <c r="AB202" s="15"/>
      <c r="AC202" s="15">
        <f>+[1]L.KIRDAR!AA297</f>
        <v>0</v>
      </c>
      <c r="AD202" s="15"/>
      <c r="AE202" s="15"/>
      <c r="AF202" s="15">
        <f>+[1]L.KIRDAR!AD297</f>
        <v>0</v>
      </c>
      <c r="AG202" s="15"/>
      <c r="AH202" s="15"/>
      <c r="AI202" s="15">
        <f>+[1]L.KIRDAR!AG297</f>
        <v>0</v>
      </c>
      <c r="AJ202" s="16"/>
      <c r="AK202" s="16"/>
      <c r="AL202" s="75">
        <f>+[1]L.KIRDAR!AJ297</f>
        <v>0</v>
      </c>
    </row>
    <row r="203" spans="1:38" x14ac:dyDescent="0.25">
      <c r="A203" s="73" t="s">
        <v>62</v>
      </c>
      <c r="B203" s="6" t="s">
        <v>64</v>
      </c>
      <c r="C203" s="7" t="s">
        <v>24</v>
      </c>
      <c r="D203" s="8" t="s">
        <v>23</v>
      </c>
      <c r="E203" s="13">
        <f>+[1]L.KIRDAR!C298</f>
        <v>249569.95</v>
      </c>
      <c r="F203" s="17"/>
      <c r="G203" s="17"/>
      <c r="H203" s="18">
        <f>+[1]L.KIRDAR!F298</f>
        <v>196532.13</v>
      </c>
      <c r="I203" s="18"/>
      <c r="J203" s="18"/>
      <c r="K203" s="18">
        <f>+[1]L.KIRDAR!I298</f>
        <v>43031.25</v>
      </c>
      <c r="L203" s="18"/>
      <c r="M203" s="18"/>
      <c r="N203" s="18">
        <f>+[1]L.KIRDAR!L298</f>
        <v>125345.08</v>
      </c>
      <c r="O203" s="18"/>
      <c r="P203" s="18"/>
      <c r="Q203" s="18">
        <f>+[1]L.KIRDAR!O298</f>
        <v>340240.5</v>
      </c>
      <c r="R203" s="18"/>
      <c r="S203" s="18"/>
      <c r="T203" s="18">
        <f>+[1]L.KIRDAR!R298</f>
        <v>979944.8</v>
      </c>
      <c r="U203" s="18"/>
      <c r="V203" s="18"/>
      <c r="W203" s="18">
        <f>+[1]L.KIRDAR!U298</f>
        <v>407943.92</v>
      </c>
      <c r="X203" s="18"/>
      <c r="Y203" s="18"/>
      <c r="Z203" s="18">
        <f>+[1]L.KIRDAR!X298</f>
        <v>0</v>
      </c>
      <c r="AA203" s="18"/>
      <c r="AB203" s="18"/>
      <c r="AC203" s="18">
        <f>+[1]L.KIRDAR!AA298</f>
        <v>0</v>
      </c>
      <c r="AD203" s="18"/>
      <c r="AE203" s="18"/>
      <c r="AF203" s="18">
        <f>+[1]L.KIRDAR!AD298</f>
        <v>0</v>
      </c>
      <c r="AG203" s="18"/>
      <c r="AH203" s="18"/>
      <c r="AI203" s="18">
        <f>+[1]L.KIRDAR!AG298</f>
        <v>0</v>
      </c>
      <c r="AJ203" s="19"/>
      <c r="AK203" s="19"/>
      <c r="AL203" s="76">
        <f>+[1]L.KIRDAR!AJ298</f>
        <v>0</v>
      </c>
    </row>
    <row r="204" spans="1:38" x14ac:dyDescent="0.25">
      <c r="A204" s="73" t="s">
        <v>62</v>
      </c>
      <c r="B204" s="6" t="s">
        <v>64</v>
      </c>
      <c r="C204" s="7" t="s">
        <v>25</v>
      </c>
      <c r="D204" s="8" t="s">
        <v>23</v>
      </c>
      <c r="E204" s="20">
        <f>+[1]L.KIRDAR!C301-[1]L.KIRDAR!C297-[1]L.KIRDAR!C298</f>
        <v>0</v>
      </c>
      <c r="F204" s="21"/>
      <c r="G204" s="21"/>
      <c r="H204" s="22">
        <f>+[1]L.KIRDAR!F301-[1]L.KIRDAR!F297-[1]L.KIRDAR!F298</f>
        <v>424.99999999988358</v>
      </c>
      <c r="I204" s="22"/>
      <c r="J204" s="22"/>
      <c r="K204" s="22">
        <f>+[1]L.KIRDAR!I301-[1]L.KIRDAR!I297-[1]L.KIRDAR!I298</f>
        <v>0</v>
      </c>
      <c r="L204" s="22"/>
      <c r="M204" s="22"/>
      <c r="N204" s="22">
        <f>+[1]L.KIRDAR!L301-[1]L.KIRDAR!L297-[1]L.KIRDAR!L298</f>
        <v>11208.659999999989</v>
      </c>
      <c r="O204" s="22"/>
      <c r="P204" s="22"/>
      <c r="Q204" s="22">
        <f>+[1]L.KIRDAR!O301-[1]L.KIRDAR!O297-[1]L.KIRDAR!O298</f>
        <v>22787.860000000102</v>
      </c>
      <c r="R204" s="22"/>
      <c r="S204" s="22"/>
      <c r="T204" s="22">
        <f>+[1]L.KIRDAR!R301-[1]L.KIRDAR!R297-[1]L.KIRDAR!R298</f>
        <v>0</v>
      </c>
      <c r="U204" s="22"/>
      <c r="V204" s="22"/>
      <c r="W204" s="22">
        <f>+[1]L.KIRDAR!U301-[1]L.KIRDAR!U297-[1]L.KIRDAR!U298</f>
        <v>0</v>
      </c>
      <c r="X204" s="22"/>
      <c r="Y204" s="22"/>
      <c r="Z204" s="22">
        <f>+[1]L.KIRDAR!X301-[1]L.KIRDAR!X297-[1]L.KIRDAR!X298</f>
        <v>0</v>
      </c>
      <c r="AA204" s="22"/>
      <c r="AB204" s="22"/>
      <c r="AC204" s="22">
        <f>+[1]L.KIRDAR!AA301-[1]L.KIRDAR!AA297-[1]L.KIRDAR!AA298</f>
        <v>0</v>
      </c>
      <c r="AD204" s="22"/>
      <c r="AE204" s="22"/>
      <c r="AF204" s="22">
        <f>+[1]L.KIRDAR!AD301-[1]L.KIRDAR!AD297-[1]L.KIRDAR!AD298</f>
        <v>0</v>
      </c>
      <c r="AG204" s="22"/>
      <c r="AH204" s="22"/>
      <c r="AI204" s="22">
        <f>+[1]L.KIRDAR!AG301-[1]L.KIRDAR!AG297-[1]L.KIRDAR!AG298</f>
        <v>0</v>
      </c>
      <c r="AJ204" s="23"/>
      <c r="AK204" s="23"/>
      <c r="AL204" s="77">
        <f>+[1]L.KIRDAR!AJ301-[1]L.KIRDAR!AJ297-[1]L.KIRDAR!AJ298</f>
        <v>0</v>
      </c>
    </row>
    <row r="205" spans="1:38" x14ac:dyDescent="0.25">
      <c r="A205" s="73" t="s">
        <v>62</v>
      </c>
      <c r="B205" s="6" t="s">
        <v>64</v>
      </c>
      <c r="C205" s="7" t="s">
        <v>26</v>
      </c>
      <c r="D205" s="8" t="s">
        <v>23</v>
      </c>
      <c r="E205" s="24">
        <f>+[1]L.KIRDAR!C322</f>
        <v>96799.19</v>
      </c>
      <c r="F205" s="25"/>
      <c r="G205" s="25"/>
      <c r="H205" s="26">
        <f>+[1]L.KIRDAR!F322</f>
        <v>165929.95000000001</v>
      </c>
      <c r="I205" s="26"/>
      <c r="J205" s="26"/>
      <c r="K205" s="26">
        <f>+[1]L.KIRDAR!I322</f>
        <v>100329.26</v>
      </c>
      <c r="L205" s="26"/>
      <c r="M205" s="26"/>
      <c r="N205" s="26">
        <f>+[1]L.KIRDAR!L322</f>
        <v>425408.33</v>
      </c>
      <c r="O205" s="26"/>
      <c r="P205" s="26"/>
      <c r="Q205" s="26">
        <f>+[1]L.KIRDAR!O322</f>
        <v>392447.56</v>
      </c>
      <c r="R205" s="26"/>
      <c r="S205" s="26"/>
      <c r="T205" s="26">
        <f>+[1]L.KIRDAR!R322</f>
        <v>385251.68</v>
      </c>
      <c r="U205" s="26"/>
      <c r="V205" s="26"/>
      <c r="W205" s="26">
        <f>+[1]L.KIRDAR!U322</f>
        <v>94821.63</v>
      </c>
      <c r="X205" s="26"/>
      <c r="Y205" s="26"/>
      <c r="Z205" s="26">
        <f>+[1]L.KIRDAR!X322</f>
        <v>0</v>
      </c>
      <c r="AA205" s="26"/>
      <c r="AB205" s="26"/>
      <c r="AC205" s="26">
        <f>+[1]L.KIRDAR!AA322</f>
        <v>0</v>
      </c>
      <c r="AD205" s="26"/>
      <c r="AE205" s="26"/>
      <c r="AF205" s="26">
        <f>+[1]L.KIRDAR!AD322</f>
        <v>0</v>
      </c>
      <c r="AG205" s="26"/>
      <c r="AH205" s="26"/>
      <c r="AI205" s="26">
        <f>+[1]L.KIRDAR!AG322</f>
        <v>0</v>
      </c>
      <c r="AJ205" s="27"/>
      <c r="AK205" s="27"/>
      <c r="AL205" s="78">
        <f>+[1]L.KIRDAR!AJ322</f>
        <v>0</v>
      </c>
    </row>
    <row r="206" spans="1:38" x14ac:dyDescent="0.25">
      <c r="A206" s="73" t="s">
        <v>62</v>
      </c>
      <c r="B206" s="6" t="s">
        <v>64</v>
      </c>
      <c r="C206" s="7" t="s">
        <v>27</v>
      </c>
      <c r="D206" s="8" t="s">
        <v>23</v>
      </c>
      <c r="E206" s="28">
        <f>+[1]L.KIRDAR!C323</f>
        <v>71013.440000000002</v>
      </c>
      <c r="F206" s="29"/>
      <c r="G206" s="29"/>
      <c r="H206" s="30">
        <f>+[1]L.KIRDAR!F323</f>
        <v>29641.72</v>
      </c>
      <c r="I206" s="30"/>
      <c r="J206" s="30"/>
      <c r="K206" s="30">
        <f>+[1]L.KIRDAR!I323</f>
        <v>26732.059999999998</v>
      </c>
      <c r="L206" s="30"/>
      <c r="M206" s="30"/>
      <c r="N206" s="30">
        <f>+[1]L.KIRDAR!L323</f>
        <v>87836.959999999992</v>
      </c>
      <c r="O206" s="30"/>
      <c r="P206" s="30"/>
      <c r="Q206" s="30">
        <f>+[1]L.KIRDAR!O323</f>
        <v>94493.759999999995</v>
      </c>
      <c r="R206" s="30"/>
      <c r="S206" s="30"/>
      <c r="T206" s="30">
        <f>+[1]L.KIRDAR!R323</f>
        <v>405937.9</v>
      </c>
      <c r="U206" s="30"/>
      <c r="V206" s="30"/>
      <c r="W206" s="30">
        <f>+[1]L.KIRDAR!U323</f>
        <v>42444.630000000005</v>
      </c>
      <c r="X206" s="30"/>
      <c r="Y206" s="30"/>
      <c r="Z206" s="30">
        <f>+[1]L.KIRDAR!X323</f>
        <v>0</v>
      </c>
      <c r="AA206" s="30"/>
      <c r="AB206" s="30"/>
      <c r="AC206" s="30">
        <f>+[1]L.KIRDAR!AA323</f>
        <v>0</v>
      </c>
      <c r="AD206" s="30"/>
      <c r="AE206" s="30"/>
      <c r="AF206" s="30">
        <f>+[1]L.KIRDAR!AD323</f>
        <v>0</v>
      </c>
      <c r="AG206" s="30"/>
      <c r="AH206" s="30"/>
      <c r="AI206" s="30">
        <f>+[1]L.KIRDAR!AG323</f>
        <v>0</v>
      </c>
      <c r="AJ206" s="31"/>
      <c r="AK206" s="31"/>
      <c r="AL206" s="79">
        <f>+[1]L.KIRDAR!AJ323</f>
        <v>0</v>
      </c>
    </row>
    <row r="207" spans="1:38" x14ac:dyDescent="0.25">
      <c r="A207" s="73" t="s">
        <v>62</v>
      </c>
      <c r="B207" s="6" t="s">
        <v>64</v>
      </c>
      <c r="C207" s="7" t="s">
        <v>28</v>
      </c>
      <c r="D207" s="8" t="s">
        <v>29</v>
      </c>
      <c r="E207" s="124">
        <f>+[1]L.KIRDAR!C306</f>
        <v>0</v>
      </c>
      <c r="F207" s="125"/>
      <c r="G207" s="125"/>
      <c r="H207" s="126">
        <f>+[1]L.KIRDAR!F306</f>
        <v>0</v>
      </c>
      <c r="I207" s="126"/>
      <c r="J207" s="126"/>
      <c r="K207" s="126">
        <f>+[1]L.KIRDAR!I306</f>
        <v>0</v>
      </c>
      <c r="L207" s="126"/>
      <c r="M207" s="126"/>
      <c r="N207" s="126">
        <f>+[1]L.KIRDAR!L306</f>
        <v>0</v>
      </c>
      <c r="O207" s="126"/>
      <c r="P207" s="126"/>
      <c r="Q207" s="126">
        <f>+[1]L.KIRDAR!O306</f>
        <v>0</v>
      </c>
      <c r="R207" s="126"/>
      <c r="S207" s="126"/>
      <c r="T207" s="126">
        <f>+[1]L.KIRDAR!R306</f>
        <v>0</v>
      </c>
      <c r="U207" s="126"/>
      <c r="V207" s="126"/>
      <c r="W207" s="126">
        <f>+[1]L.KIRDAR!U306</f>
        <v>0</v>
      </c>
      <c r="X207" s="126"/>
      <c r="Y207" s="126"/>
      <c r="Z207" s="126">
        <f>+[1]L.KIRDAR!X306</f>
        <v>0</v>
      </c>
      <c r="AA207" s="126"/>
      <c r="AB207" s="126"/>
      <c r="AC207" s="126">
        <f>+[1]L.KIRDAR!AA306</f>
        <v>0</v>
      </c>
      <c r="AD207" s="126"/>
      <c r="AE207" s="126"/>
      <c r="AF207" s="126">
        <f>+[1]L.KIRDAR!AD306</f>
        <v>0</v>
      </c>
      <c r="AG207" s="126"/>
      <c r="AH207" s="126"/>
      <c r="AI207" s="126">
        <f>+[1]L.KIRDAR!AG306</f>
        <v>0</v>
      </c>
      <c r="AJ207" s="127"/>
      <c r="AK207" s="127"/>
      <c r="AL207" s="128">
        <f>+[1]L.KIRDAR!AJ306</f>
        <v>0</v>
      </c>
    </row>
    <row r="208" spans="1:38" x14ac:dyDescent="0.25">
      <c r="A208" s="85" t="s">
        <v>62</v>
      </c>
      <c r="B208" s="32" t="s">
        <v>64</v>
      </c>
      <c r="C208" s="33" t="s">
        <v>30</v>
      </c>
      <c r="D208" s="34" t="s">
        <v>29</v>
      </c>
      <c r="E208" s="129">
        <f>+[1]L.KIRDAR!C307</f>
        <v>0</v>
      </c>
      <c r="F208" s="130"/>
      <c r="G208" s="130"/>
      <c r="H208" s="131">
        <f>+[1]L.KIRDAR!F307</f>
        <v>0</v>
      </c>
      <c r="I208" s="131"/>
      <c r="J208" s="131"/>
      <c r="K208" s="131">
        <f>+[1]L.KIRDAR!I307</f>
        <v>0</v>
      </c>
      <c r="L208" s="131"/>
      <c r="M208" s="131"/>
      <c r="N208" s="131">
        <f>+[1]L.KIRDAR!L307</f>
        <v>0</v>
      </c>
      <c r="O208" s="131"/>
      <c r="P208" s="131"/>
      <c r="Q208" s="131">
        <f>+[1]L.KIRDAR!O307</f>
        <v>0</v>
      </c>
      <c r="R208" s="131"/>
      <c r="S208" s="131"/>
      <c r="T208" s="131">
        <f>+[1]L.KIRDAR!R307</f>
        <v>0</v>
      </c>
      <c r="U208" s="131"/>
      <c r="V208" s="131"/>
      <c r="W208" s="131">
        <f>+[1]L.KIRDAR!U307</f>
        <v>0</v>
      </c>
      <c r="X208" s="131"/>
      <c r="Y208" s="131"/>
      <c r="Z208" s="131">
        <f>+[1]L.KIRDAR!X307</f>
        <v>0</v>
      </c>
      <c r="AA208" s="131"/>
      <c r="AB208" s="131"/>
      <c r="AC208" s="131">
        <f>+[1]L.KIRDAR!AA307</f>
        <v>0</v>
      </c>
      <c r="AD208" s="131"/>
      <c r="AE208" s="131"/>
      <c r="AF208" s="131">
        <f>+[1]L.KIRDAR!AD307</f>
        <v>0</v>
      </c>
      <c r="AG208" s="131"/>
      <c r="AH208" s="131"/>
      <c r="AI208" s="131">
        <f>+[1]L.KIRDAR!AG307</f>
        <v>0</v>
      </c>
      <c r="AJ208" s="132"/>
      <c r="AK208" s="132"/>
      <c r="AL208" s="133">
        <f>+[1]L.KIRDAR!AJ307</f>
        <v>0</v>
      </c>
    </row>
    <row r="209" spans="1:38" x14ac:dyDescent="0.25">
      <c r="A209" s="85" t="s">
        <v>62</v>
      </c>
      <c r="B209" s="32" t="s">
        <v>64</v>
      </c>
      <c r="C209" s="33" t="s">
        <v>31</v>
      </c>
      <c r="D209" s="34" t="s">
        <v>29</v>
      </c>
      <c r="E209" s="129">
        <f>+[1]L.KIRDAR!C308</f>
        <v>0</v>
      </c>
      <c r="F209" s="130"/>
      <c r="G209" s="130"/>
      <c r="H209" s="131">
        <f>+[1]L.KIRDAR!F308</f>
        <v>0</v>
      </c>
      <c r="I209" s="131"/>
      <c r="J209" s="131"/>
      <c r="K209" s="131">
        <f>+[1]L.KIRDAR!I308</f>
        <v>0</v>
      </c>
      <c r="L209" s="131"/>
      <c r="M209" s="131"/>
      <c r="N209" s="131">
        <f>+[1]L.KIRDAR!L308</f>
        <v>0</v>
      </c>
      <c r="O209" s="131"/>
      <c r="P209" s="131"/>
      <c r="Q209" s="131">
        <f>+[1]L.KIRDAR!O308</f>
        <v>0</v>
      </c>
      <c r="R209" s="131"/>
      <c r="S209" s="131"/>
      <c r="T209" s="131">
        <f>+[1]L.KIRDAR!R308</f>
        <v>0</v>
      </c>
      <c r="U209" s="131"/>
      <c r="V209" s="131"/>
      <c r="W209" s="131">
        <f>+[1]L.KIRDAR!U308</f>
        <v>0</v>
      </c>
      <c r="X209" s="131"/>
      <c r="Y209" s="131"/>
      <c r="Z209" s="131">
        <f>+[1]L.KIRDAR!X308</f>
        <v>0</v>
      </c>
      <c r="AA209" s="131"/>
      <c r="AB209" s="131"/>
      <c r="AC209" s="131">
        <f>+[1]L.KIRDAR!AA308</f>
        <v>0</v>
      </c>
      <c r="AD209" s="131"/>
      <c r="AE209" s="131"/>
      <c r="AF209" s="131">
        <f>+[1]L.KIRDAR!AD308</f>
        <v>0</v>
      </c>
      <c r="AG209" s="131"/>
      <c r="AH209" s="131"/>
      <c r="AI209" s="131">
        <f>+[1]L.KIRDAR!AG308</f>
        <v>0</v>
      </c>
      <c r="AJ209" s="132"/>
      <c r="AK209" s="132"/>
      <c r="AL209" s="133">
        <f>+[1]L.KIRDAR!AJ308</f>
        <v>0</v>
      </c>
    </row>
    <row r="210" spans="1:38" x14ac:dyDescent="0.25">
      <c r="A210" s="85" t="s">
        <v>62</v>
      </c>
      <c r="B210" s="32" t="s">
        <v>64</v>
      </c>
      <c r="C210" s="33" t="s">
        <v>32</v>
      </c>
      <c r="D210" s="34" t="s">
        <v>29</v>
      </c>
      <c r="E210" s="129">
        <f>+[1]L.KIRDAR!C309</f>
        <v>0</v>
      </c>
      <c r="F210" s="130"/>
      <c r="G210" s="130"/>
      <c r="H210" s="131">
        <f>+[1]L.KIRDAR!F309</f>
        <v>0</v>
      </c>
      <c r="I210" s="131"/>
      <c r="J210" s="131"/>
      <c r="K210" s="131">
        <f>+[1]L.KIRDAR!I309</f>
        <v>0</v>
      </c>
      <c r="L210" s="131"/>
      <c r="M210" s="131"/>
      <c r="N210" s="131">
        <f>+[1]L.KIRDAR!L309</f>
        <v>0</v>
      </c>
      <c r="O210" s="131"/>
      <c r="P210" s="131"/>
      <c r="Q210" s="131">
        <f>+[1]L.KIRDAR!O309</f>
        <v>0</v>
      </c>
      <c r="R210" s="131"/>
      <c r="S210" s="131"/>
      <c r="T210" s="131">
        <f>+[1]L.KIRDAR!R309</f>
        <v>0</v>
      </c>
      <c r="U210" s="131"/>
      <c r="V210" s="131"/>
      <c r="W210" s="131">
        <f>+[1]L.KIRDAR!U309</f>
        <v>0</v>
      </c>
      <c r="X210" s="131"/>
      <c r="Y210" s="131"/>
      <c r="Z210" s="131">
        <f>+[1]L.KIRDAR!X309</f>
        <v>0</v>
      </c>
      <c r="AA210" s="131"/>
      <c r="AB210" s="131"/>
      <c r="AC210" s="131">
        <f>+[1]L.KIRDAR!AA309</f>
        <v>0</v>
      </c>
      <c r="AD210" s="131"/>
      <c r="AE210" s="131"/>
      <c r="AF210" s="131">
        <f>+[1]L.KIRDAR!AD309</f>
        <v>0</v>
      </c>
      <c r="AG210" s="131"/>
      <c r="AH210" s="131"/>
      <c r="AI210" s="131">
        <f>+[1]L.KIRDAR!AG309</f>
        <v>0</v>
      </c>
      <c r="AJ210" s="132"/>
      <c r="AK210" s="132"/>
      <c r="AL210" s="133">
        <f>+[1]L.KIRDAR!AJ309</f>
        <v>0</v>
      </c>
    </row>
    <row r="211" spans="1:38" x14ac:dyDescent="0.25">
      <c r="A211" s="85" t="s">
        <v>62</v>
      </c>
      <c r="B211" s="32" t="s">
        <v>64</v>
      </c>
      <c r="C211" s="33" t="s">
        <v>33</v>
      </c>
      <c r="D211" s="34" t="s">
        <v>29</v>
      </c>
      <c r="E211" s="129">
        <f>SUM(E207:E210)</f>
        <v>0</v>
      </c>
      <c r="F211" s="130"/>
      <c r="G211" s="130"/>
      <c r="H211" s="129">
        <f>SUM(H207:H210)</f>
        <v>0</v>
      </c>
      <c r="I211" s="131"/>
      <c r="J211" s="131"/>
      <c r="K211" s="129">
        <f>SUM(K207:K210)</f>
        <v>0</v>
      </c>
      <c r="L211" s="131"/>
      <c r="M211" s="131"/>
      <c r="N211" s="129">
        <f>SUM(N207:N210)</f>
        <v>0</v>
      </c>
      <c r="O211" s="131"/>
      <c r="P211" s="131"/>
      <c r="Q211" s="129">
        <f>SUM(Q207:Q210)</f>
        <v>0</v>
      </c>
      <c r="R211" s="131"/>
      <c r="S211" s="131"/>
      <c r="T211" s="129">
        <f>SUM(T207:T210)</f>
        <v>0</v>
      </c>
      <c r="U211" s="131"/>
      <c r="V211" s="131"/>
      <c r="W211" s="129">
        <f>SUM(W207:W210)</f>
        <v>0</v>
      </c>
      <c r="X211" s="131"/>
      <c r="Y211" s="131"/>
      <c r="Z211" s="129">
        <f>SUM(Z207:Z210)</f>
        <v>0</v>
      </c>
      <c r="AA211" s="131"/>
      <c r="AB211" s="131"/>
      <c r="AC211" s="129">
        <f>SUM(AC207:AC210)</f>
        <v>0</v>
      </c>
      <c r="AD211" s="131"/>
      <c r="AE211" s="131"/>
      <c r="AF211" s="129">
        <f>SUM(AF207:AF210)</f>
        <v>0</v>
      </c>
      <c r="AG211" s="131"/>
      <c r="AH211" s="131"/>
      <c r="AI211" s="129">
        <f>SUM(AI207:AI210)</f>
        <v>0</v>
      </c>
      <c r="AJ211" s="132"/>
      <c r="AK211" s="132"/>
      <c r="AL211" s="134">
        <f>SUM(AL207:AL210)</f>
        <v>0</v>
      </c>
    </row>
    <row r="212" spans="1:38" x14ac:dyDescent="0.25">
      <c r="A212" s="85" t="s">
        <v>62</v>
      </c>
      <c r="B212" s="32" t="s">
        <v>64</v>
      </c>
      <c r="C212" s="33" t="s">
        <v>34</v>
      </c>
      <c r="D212" s="34" t="s">
        <v>23</v>
      </c>
      <c r="E212" s="35">
        <f>+[1]L.KIRDAR!C313+[1]L.KIRDAR!C314+[1]L.KIRDAR!C315+[1]L.KIRDAR!C316</f>
        <v>0</v>
      </c>
      <c r="F212" s="36"/>
      <c r="G212" s="36"/>
      <c r="H212" s="35">
        <f>+[1]L.KIRDAR!F313+[1]L.KIRDAR!F314+[1]L.KIRDAR!F315+[1]L.KIRDAR!F316</f>
        <v>0</v>
      </c>
      <c r="I212" s="18"/>
      <c r="J212" s="18"/>
      <c r="K212" s="35">
        <f>+[1]L.KIRDAR!I313+[1]L.KIRDAR!I314+[1]L.KIRDAR!I315+[1]L.KIRDAR!I316</f>
        <v>0</v>
      </c>
      <c r="L212" s="18"/>
      <c r="M212" s="18"/>
      <c r="N212" s="35">
        <f>+[1]L.KIRDAR!L313+[1]L.KIRDAR!L314+[1]L.KIRDAR!L315+[1]L.KIRDAR!L316</f>
        <v>0</v>
      </c>
      <c r="O212" s="18"/>
      <c r="P212" s="18"/>
      <c r="Q212" s="35">
        <f>+[1]L.KIRDAR!O313+[1]L.KIRDAR!O314+[1]L.KIRDAR!O315+[1]L.KIRDAR!O316</f>
        <v>0</v>
      </c>
      <c r="R212" s="18"/>
      <c r="S212" s="18"/>
      <c r="T212" s="35">
        <f>+[1]L.KIRDAR!R313+[1]L.KIRDAR!R314+[1]L.KIRDAR!R315+[1]L.KIRDAR!R316</f>
        <v>0</v>
      </c>
      <c r="U212" s="18"/>
      <c r="V212" s="18"/>
      <c r="W212" s="35">
        <f>+[1]L.KIRDAR!U313+[1]L.KIRDAR!U314+[1]L.KIRDAR!U315+[1]L.KIRDAR!U316</f>
        <v>0</v>
      </c>
      <c r="X212" s="18"/>
      <c r="Y212" s="18"/>
      <c r="Z212" s="35">
        <f>+[1]L.KIRDAR!X313+[1]L.KIRDAR!X314+[1]L.KIRDAR!X315+[1]L.KIRDAR!X316</f>
        <v>0</v>
      </c>
      <c r="AA212" s="18"/>
      <c r="AB212" s="18"/>
      <c r="AC212" s="35">
        <f>+[1]L.KIRDAR!AA313+[1]L.KIRDAR!AA314+[1]L.KIRDAR!AA315+[1]L.KIRDAR!AA316</f>
        <v>0</v>
      </c>
      <c r="AD212" s="18"/>
      <c r="AE212" s="18"/>
      <c r="AF212" s="35">
        <f>+[1]L.KIRDAR!AD313+[1]L.KIRDAR!AD314+[1]L.KIRDAR!AD315+[1]L.KIRDAR!AD316</f>
        <v>0</v>
      </c>
      <c r="AG212" s="18"/>
      <c r="AH212" s="18"/>
      <c r="AI212" s="35">
        <f>+[1]L.KIRDAR!AG313+[1]L.KIRDAR!AG314+[1]L.KIRDAR!AG315+[1]L.KIRDAR!AG316</f>
        <v>0</v>
      </c>
      <c r="AJ212" s="19"/>
      <c r="AK212" s="19"/>
      <c r="AL212" s="92">
        <f>+[1]L.KIRDAR!AJ313+[1]L.KIRDAR!AJ314+[1]L.KIRDAR!AJ315+[1]L.KIRDAR!AJ316</f>
        <v>0</v>
      </c>
    </row>
    <row r="213" spans="1:38" x14ac:dyDescent="0.25">
      <c r="A213" s="85" t="s">
        <v>62</v>
      </c>
      <c r="B213" s="32" t="s">
        <v>64</v>
      </c>
      <c r="C213" s="33" t="s">
        <v>35</v>
      </c>
      <c r="D213" s="34" t="s">
        <v>23</v>
      </c>
      <c r="E213" s="35">
        <f>+[1]L.KIRDAR!C317</f>
        <v>0</v>
      </c>
      <c r="F213" s="36"/>
      <c r="G213" s="36"/>
      <c r="H213" s="35">
        <f>+[1]L.KIRDAR!F317</f>
        <v>0</v>
      </c>
      <c r="I213" s="18"/>
      <c r="J213" s="18"/>
      <c r="K213" s="35">
        <f>+[1]L.KIRDAR!I317</f>
        <v>0</v>
      </c>
      <c r="L213" s="18"/>
      <c r="M213" s="18"/>
      <c r="N213" s="35">
        <f>+[1]L.KIRDAR!L317</f>
        <v>0</v>
      </c>
      <c r="O213" s="18"/>
      <c r="P213" s="18"/>
      <c r="Q213" s="35">
        <f>+[1]L.KIRDAR!O317</f>
        <v>0</v>
      </c>
      <c r="R213" s="18"/>
      <c r="S213" s="18"/>
      <c r="T213" s="35">
        <f>+[1]L.KIRDAR!R317</f>
        <v>0</v>
      </c>
      <c r="U213" s="18"/>
      <c r="V213" s="18"/>
      <c r="W213" s="35">
        <f>+[1]L.KIRDAR!U317</f>
        <v>0</v>
      </c>
      <c r="X213" s="18"/>
      <c r="Y213" s="18"/>
      <c r="Z213" s="35">
        <f>+[1]L.KIRDAR!X317</f>
        <v>0</v>
      </c>
      <c r="AA213" s="18"/>
      <c r="AB213" s="18"/>
      <c r="AC213" s="35">
        <f>+[1]L.KIRDAR!AA317</f>
        <v>0</v>
      </c>
      <c r="AD213" s="18"/>
      <c r="AE213" s="18"/>
      <c r="AF213" s="35">
        <f>+[1]L.KIRDAR!AD317</f>
        <v>0</v>
      </c>
      <c r="AG213" s="18"/>
      <c r="AH213" s="18"/>
      <c r="AI213" s="35">
        <f>+[1]L.KIRDAR!AG317</f>
        <v>0</v>
      </c>
      <c r="AJ213" s="19"/>
      <c r="AK213" s="19"/>
      <c r="AL213" s="92">
        <f>+[1]L.KIRDAR!AJ317</f>
        <v>0</v>
      </c>
    </row>
    <row r="214" spans="1:38" x14ac:dyDescent="0.25">
      <c r="A214" s="85" t="s">
        <v>62</v>
      </c>
      <c r="B214" s="32" t="s">
        <v>64</v>
      </c>
      <c r="C214" s="33" t="s">
        <v>36</v>
      </c>
      <c r="D214" s="34" t="s">
        <v>23</v>
      </c>
      <c r="E214" s="35">
        <f>+[1]L.KIRDAR!C318</f>
        <v>0</v>
      </c>
      <c r="F214" s="36"/>
      <c r="G214" s="36"/>
      <c r="H214" s="35">
        <f>+[1]L.KIRDAR!F318</f>
        <v>0</v>
      </c>
      <c r="I214" s="18"/>
      <c r="J214" s="18"/>
      <c r="K214" s="35">
        <f>+[1]L.KIRDAR!I318</f>
        <v>0</v>
      </c>
      <c r="L214" s="18"/>
      <c r="M214" s="18"/>
      <c r="N214" s="35">
        <f>+[1]L.KIRDAR!L318</f>
        <v>0</v>
      </c>
      <c r="O214" s="18"/>
      <c r="P214" s="18"/>
      <c r="Q214" s="35">
        <f>+[1]L.KIRDAR!O318</f>
        <v>0</v>
      </c>
      <c r="R214" s="18"/>
      <c r="S214" s="18"/>
      <c r="T214" s="35">
        <f>+[1]L.KIRDAR!R318</f>
        <v>0</v>
      </c>
      <c r="U214" s="18"/>
      <c r="V214" s="18"/>
      <c r="W214" s="35">
        <f>+[1]L.KIRDAR!U318</f>
        <v>0</v>
      </c>
      <c r="X214" s="18"/>
      <c r="Y214" s="18"/>
      <c r="Z214" s="35">
        <f>+[1]L.KIRDAR!X318</f>
        <v>0</v>
      </c>
      <c r="AA214" s="18"/>
      <c r="AB214" s="18"/>
      <c r="AC214" s="35">
        <f>+[1]L.KIRDAR!AA318</f>
        <v>0</v>
      </c>
      <c r="AD214" s="18"/>
      <c r="AE214" s="18"/>
      <c r="AF214" s="35">
        <f>+[1]L.KIRDAR!AD318</f>
        <v>0</v>
      </c>
      <c r="AG214" s="18"/>
      <c r="AH214" s="18"/>
      <c r="AI214" s="35">
        <f>+[1]L.KIRDAR!AG318</f>
        <v>0</v>
      </c>
      <c r="AJ214" s="19"/>
      <c r="AK214" s="19"/>
      <c r="AL214" s="92">
        <f>+[1]L.KIRDAR!AJ318</f>
        <v>0</v>
      </c>
    </row>
    <row r="215" spans="1:38" x14ac:dyDescent="0.25">
      <c r="A215" s="85" t="s">
        <v>62</v>
      </c>
      <c r="B215" s="32" t="s">
        <v>64</v>
      </c>
      <c r="C215" s="33" t="s">
        <v>37</v>
      </c>
      <c r="D215" s="34" t="s">
        <v>23</v>
      </c>
      <c r="E215" s="37">
        <f>SUM(E212:E214)</f>
        <v>0</v>
      </c>
      <c r="F215" s="38"/>
      <c r="G215" s="38"/>
      <c r="H215" s="37">
        <f>SUM(H212:H214)</f>
        <v>0</v>
      </c>
      <c r="I215" s="39"/>
      <c r="J215" s="39"/>
      <c r="K215" s="37">
        <f>SUM(K212:K214)</f>
        <v>0</v>
      </c>
      <c r="L215" s="39"/>
      <c r="M215" s="39"/>
      <c r="N215" s="37">
        <f>SUM(N212:N214)</f>
        <v>0</v>
      </c>
      <c r="O215" s="39"/>
      <c r="P215" s="39"/>
      <c r="Q215" s="37">
        <f>SUM(Q212:Q214)</f>
        <v>0</v>
      </c>
      <c r="R215" s="39"/>
      <c r="S215" s="39"/>
      <c r="T215" s="37">
        <f>SUM(T212:T214)</f>
        <v>0</v>
      </c>
      <c r="U215" s="39"/>
      <c r="V215" s="39"/>
      <c r="W215" s="37">
        <f>SUM(W212:W214)</f>
        <v>0</v>
      </c>
      <c r="X215" s="39"/>
      <c r="Y215" s="39"/>
      <c r="Z215" s="37">
        <f>SUM(Z212:Z214)</f>
        <v>0</v>
      </c>
      <c r="AA215" s="39"/>
      <c r="AB215" s="39"/>
      <c r="AC215" s="37">
        <f>SUM(AC212:AC214)</f>
        <v>0</v>
      </c>
      <c r="AD215" s="39"/>
      <c r="AE215" s="39"/>
      <c r="AF215" s="37">
        <f>SUM(AF212:AF214)</f>
        <v>0</v>
      </c>
      <c r="AG215" s="39"/>
      <c r="AH215" s="39"/>
      <c r="AI215" s="37">
        <f>SUM(AI212:AI214)</f>
        <v>0</v>
      </c>
      <c r="AJ215" s="40"/>
      <c r="AK215" s="40"/>
      <c r="AL215" s="93">
        <f>SUM(AL212:AL214)</f>
        <v>0</v>
      </c>
    </row>
    <row r="216" spans="1:38" x14ac:dyDescent="0.25">
      <c r="A216" s="73" t="s">
        <v>62</v>
      </c>
      <c r="B216" s="6" t="s">
        <v>64</v>
      </c>
      <c r="C216" s="7" t="s">
        <v>38</v>
      </c>
      <c r="D216" s="8" t="s">
        <v>23</v>
      </c>
      <c r="E216" s="28">
        <f>IFERROR(E215/E211,0)</f>
        <v>0</v>
      </c>
      <c r="F216" s="29"/>
      <c r="G216" s="29"/>
      <c r="H216" s="28">
        <f>IFERROR(H215/H211,0)</f>
        <v>0</v>
      </c>
      <c r="I216" s="30"/>
      <c r="J216" s="30"/>
      <c r="K216" s="28">
        <f>IFERROR(K215/K211,0)</f>
        <v>0</v>
      </c>
      <c r="L216" s="30"/>
      <c r="M216" s="30"/>
      <c r="N216" s="28">
        <f>IFERROR(N215/N211,0)</f>
        <v>0</v>
      </c>
      <c r="O216" s="30"/>
      <c r="P216" s="30"/>
      <c r="Q216" s="28">
        <f>IFERROR(Q215/Q211,0)</f>
        <v>0</v>
      </c>
      <c r="R216" s="30"/>
      <c r="S216" s="30"/>
      <c r="T216" s="28">
        <f>IFERROR(T215/T211,0)</f>
        <v>0</v>
      </c>
      <c r="U216" s="30"/>
      <c r="V216" s="30"/>
      <c r="W216" s="28">
        <f>IFERROR(W215/W211,0)</f>
        <v>0</v>
      </c>
      <c r="X216" s="30"/>
      <c r="Y216" s="30"/>
      <c r="Z216" s="28">
        <f>IFERROR(Z215/Z211,0)</f>
        <v>0</v>
      </c>
      <c r="AA216" s="30"/>
      <c r="AB216" s="30"/>
      <c r="AC216" s="28">
        <f>IFERROR(AC215/AC211,0)</f>
        <v>0</v>
      </c>
      <c r="AD216" s="30"/>
      <c r="AE216" s="30"/>
      <c r="AF216" s="28">
        <f>IFERROR(AF215/AF211,0)</f>
        <v>0</v>
      </c>
      <c r="AG216" s="30"/>
      <c r="AH216" s="30"/>
      <c r="AI216" s="28">
        <f>IFERROR(AI215/AI211,0)</f>
        <v>0</v>
      </c>
      <c r="AJ216" s="31"/>
      <c r="AK216" s="31"/>
      <c r="AL216" s="94">
        <f>IFERROR(AL215/AL211,0)</f>
        <v>0</v>
      </c>
    </row>
    <row r="217" spans="1:38" x14ac:dyDescent="0.25">
      <c r="A217" s="73" t="s">
        <v>62</v>
      </c>
      <c r="B217" s="6" t="s">
        <v>64</v>
      </c>
      <c r="C217" s="7" t="s">
        <v>39</v>
      </c>
      <c r="D217" s="8" t="s">
        <v>23</v>
      </c>
      <c r="E217" s="41">
        <f>+[1]L.KIRDAR!C342</f>
        <v>0</v>
      </c>
      <c r="F217" s="42"/>
      <c r="G217" s="42"/>
      <c r="H217" s="43">
        <f>+[1]L.KIRDAR!F342</f>
        <v>0</v>
      </c>
      <c r="I217" s="43"/>
      <c r="J217" s="43"/>
      <c r="K217" s="43">
        <f>+[1]L.KIRDAR!I342</f>
        <v>0</v>
      </c>
      <c r="L217" s="43"/>
      <c r="M217" s="43"/>
      <c r="N217" s="43">
        <f>+[1]L.KIRDAR!L342</f>
        <v>0</v>
      </c>
      <c r="O217" s="43"/>
      <c r="P217" s="43"/>
      <c r="Q217" s="43">
        <f>+[1]L.KIRDAR!O342</f>
        <v>0</v>
      </c>
      <c r="R217" s="43"/>
      <c r="S217" s="43"/>
      <c r="T217" s="43">
        <f>+[1]L.KIRDAR!R342</f>
        <v>0</v>
      </c>
      <c r="U217" s="43"/>
      <c r="V217" s="43"/>
      <c r="W217" s="43">
        <f>+[1]L.KIRDAR!U342</f>
        <v>0</v>
      </c>
      <c r="X217" s="43"/>
      <c r="Y217" s="43"/>
      <c r="Z217" s="43">
        <f>+[1]L.KIRDAR!X342</f>
        <v>0</v>
      </c>
      <c r="AA217" s="43"/>
      <c r="AB217" s="43"/>
      <c r="AC217" s="43">
        <f>+[1]L.KIRDAR!AA342</f>
        <v>0</v>
      </c>
      <c r="AD217" s="43"/>
      <c r="AE217" s="43"/>
      <c r="AF217" s="43">
        <f>+[1]L.KIRDAR!AD342</f>
        <v>0</v>
      </c>
      <c r="AG217" s="43"/>
      <c r="AH217" s="43"/>
      <c r="AI217" s="43">
        <f>+[1]L.KIRDAR!AG342</f>
        <v>0</v>
      </c>
      <c r="AJ217" s="44"/>
      <c r="AK217" s="44"/>
      <c r="AL217" s="95">
        <f>+[1]L.KIRDAR!AJ342</f>
        <v>0</v>
      </c>
    </row>
    <row r="218" spans="1:38" x14ac:dyDescent="0.25">
      <c r="A218" s="73" t="s">
        <v>62</v>
      </c>
      <c r="B218" s="6" t="s">
        <v>64</v>
      </c>
      <c r="C218" s="7" t="s">
        <v>40</v>
      </c>
      <c r="D218" s="34" t="s">
        <v>23</v>
      </c>
      <c r="E218" s="45">
        <f>+[1]L.KIRDAR!C343</f>
        <v>0</v>
      </c>
      <c r="F218" s="46"/>
      <c r="G218" s="46"/>
      <c r="H218" s="47">
        <f>+[1]L.KIRDAR!F343</f>
        <v>0</v>
      </c>
      <c r="I218" s="47"/>
      <c r="J218" s="47"/>
      <c r="K218" s="47">
        <f>+[1]L.KIRDAR!I343</f>
        <v>0</v>
      </c>
      <c r="L218" s="47"/>
      <c r="M218" s="47"/>
      <c r="N218" s="47">
        <f>+[1]L.KIRDAR!L343</f>
        <v>0</v>
      </c>
      <c r="O218" s="47"/>
      <c r="P218" s="47"/>
      <c r="Q218" s="47">
        <f>+[1]L.KIRDAR!O343</f>
        <v>0</v>
      </c>
      <c r="R218" s="47"/>
      <c r="S218" s="47"/>
      <c r="T218" s="47">
        <f>+[1]L.KIRDAR!R343</f>
        <v>0</v>
      </c>
      <c r="U218" s="47"/>
      <c r="V218" s="47"/>
      <c r="W218" s="47">
        <f>+[1]L.KIRDAR!U343</f>
        <v>0</v>
      </c>
      <c r="X218" s="47"/>
      <c r="Y218" s="47"/>
      <c r="Z218" s="47">
        <f>+[1]L.KIRDAR!X343</f>
        <v>0</v>
      </c>
      <c r="AA218" s="47"/>
      <c r="AB218" s="47"/>
      <c r="AC218" s="47">
        <f>+[1]L.KIRDAR!AA343</f>
        <v>0</v>
      </c>
      <c r="AD218" s="47"/>
      <c r="AE218" s="47"/>
      <c r="AF218" s="47">
        <f>+[1]L.KIRDAR!AD343</f>
        <v>0</v>
      </c>
      <c r="AG218" s="47"/>
      <c r="AH218" s="47"/>
      <c r="AI218" s="47">
        <f>+[1]L.KIRDAR!AG343</f>
        <v>0</v>
      </c>
      <c r="AJ218" s="48"/>
      <c r="AK218" s="48"/>
      <c r="AL218" s="96">
        <f>+[1]L.KIRDAR!AJ343</f>
        <v>0</v>
      </c>
    </row>
    <row r="219" spans="1:38" x14ac:dyDescent="0.25">
      <c r="A219" s="73" t="s">
        <v>62</v>
      </c>
      <c r="B219" s="6" t="s">
        <v>64</v>
      </c>
      <c r="C219" s="7" t="s">
        <v>41</v>
      </c>
      <c r="D219" s="34" t="s">
        <v>23</v>
      </c>
      <c r="E219" s="45">
        <f>+[1]L.KIRDAR!C344</f>
        <v>0</v>
      </c>
      <c r="F219" s="46"/>
      <c r="G219" s="46"/>
      <c r="H219" s="47">
        <f>+[1]L.KIRDAR!F344</f>
        <v>0</v>
      </c>
      <c r="I219" s="47"/>
      <c r="J219" s="47"/>
      <c r="K219" s="47">
        <f>+[1]L.KIRDAR!I344</f>
        <v>0</v>
      </c>
      <c r="L219" s="47"/>
      <c r="M219" s="47"/>
      <c r="N219" s="47">
        <f>+[1]L.KIRDAR!L344</f>
        <v>0</v>
      </c>
      <c r="O219" s="47"/>
      <c r="P219" s="47"/>
      <c r="Q219" s="47">
        <f>+[1]L.KIRDAR!O344</f>
        <v>0</v>
      </c>
      <c r="R219" s="47"/>
      <c r="S219" s="47"/>
      <c r="T219" s="47">
        <f>+[1]L.KIRDAR!R344</f>
        <v>0</v>
      </c>
      <c r="U219" s="47"/>
      <c r="V219" s="47"/>
      <c r="W219" s="47">
        <f>+[1]L.KIRDAR!U344</f>
        <v>0</v>
      </c>
      <c r="X219" s="47"/>
      <c r="Y219" s="47"/>
      <c r="Z219" s="47">
        <f>+[1]L.KIRDAR!X344</f>
        <v>0</v>
      </c>
      <c r="AA219" s="47"/>
      <c r="AB219" s="47"/>
      <c r="AC219" s="47">
        <f>+[1]L.KIRDAR!AA344</f>
        <v>0</v>
      </c>
      <c r="AD219" s="47"/>
      <c r="AE219" s="47"/>
      <c r="AF219" s="47">
        <f>+[1]L.KIRDAR!AD344</f>
        <v>0</v>
      </c>
      <c r="AG219" s="47"/>
      <c r="AH219" s="47"/>
      <c r="AI219" s="47">
        <f>+[1]L.KIRDAR!AG344</f>
        <v>0</v>
      </c>
      <c r="AJ219" s="48"/>
      <c r="AK219" s="48"/>
      <c r="AL219" s="96">
        <f>+[1]L.KIRDAR!AJ344</f>
        <v>0</v>
      </c>
    </row>
    <row r="220" spans="1:38" x14ac:dyDescent="0.25">
      <c r="A220" s="73" t="s">
        <v>62</v>
      </c>
      <c r="B220" s="6" t="s">
        <v>64</v>
      </c>
      <c r="C220" s="7" t="s">
        <v>42</v>
      </c>
      <c r="D220" s="34" t="s">
        <v>43</v>
      </c>
      <c r="E220" s="97">
        <v>0</v>
      </c>
      <c r="F220" s="98"/>
      <c r="G220" s="98"/>
      <c r="H220" s="99">
        <v>0</v>
      </c>
      <c r="I220" s="99"/>
      <c r="J220" s="99"/>
      <c r="K220" s="99">
        <v>0</v>
      </c>
      <c r="L220" s="99"/>
      <c r="M220" s="99"/>
      <c r="N220" s="99">
        <v>0</v>
      </c>
      <c r="O220" s="99"/>
      <c r="P220" s="99"/>
      <c r="Q220" s="99">
        <v>0</v>
      </c>
      <c r="R220" s="99"/>
      <c r="S220" s="99"/>
      <c r="T220" s="99">
        <v>0</v>
      </c>
      <c r="U220" s="99"/>
      <c r="V220" s="99"/>
      <c r="W220" s="99">
        <v>0</v>
      </c>
      <c r="X220" s="99"/>
      <c r="Y220" s="99"/>
      <c r="Z220" s="99">
        <v>0</v>
      </c>
      <c r="AA220" s="99"/>
      <c r="AB220" s="99"/>
      <c r="AC220" s="99">
        <v>0</v>
      </c>
      <c r="AD220" s="99"/>
      <c r="AE220" s="99"/>
      <c r="AF220" s="99">
        <v>0</v>
      </c>
      <c r="AG220" s="99"/>
      <c r="AH220" s="99"/>
      <c r="AI220" s="99">
        <v>0</v>
      </c>
      <c r="AJ220" s="100"/>
      <c r="AK220" s="100"/>
      <c r="AL220" s="101">
        <v>0</v>
      </c>
    </row>
    <row r="221" spans="1:38" x14ac:dyDescent="0.25">
      <c r="A221" s="73" t="s">
        <v>62</v>
      </c>
      <c r="B221" s="6" t="s">
        <v>64</v>
      </c>
      <c r="C221" s="7" t="s">
        <v>44</v>
      </c>
      <c r="D221" s="34" t="s">
        <v>45</v>
      </c>
      <c r="E221" s="102">
        <v>0</v>
      </c>
      <c r="F221" s="103"/>
      <c r="G221" s="103"/>
      <c r="H221" s="104">
        <v>0</v>
      </c>
      <c r="I221" s="104"/>
      <c r="J221" s="104"/>
      <c r="K221" s="104">
        <v>0</v>
      </c>
      <c r="L221" s="104"/>
      <c r="M221" s="104"/>
      <c r="N221" s="104">
        <v>0</v>
      </c>
      <c r="O221" s="104"/>
      <c r="P221" s="104"/>
      <c r="Q221" s="104">
        <v>0</v>
      </c>
      <c r="R221" s="104"/>
      <c r="S221" s="104"/>
      <c r="T221" s="104">
        <v>0</v>
      </c>
      <c r="U221" s="104"/>
      <c r="V221" s="104"/>
      <c r="W221" s="104">
        <v>0</v>
      </c>
      <c r="X221" s="104"/>
      <c r="Y221" s="104"/>
      <c r="Z221" s="104">
        <v>0</v>
      </c>
      <c r="AA221" s="104"/>
      <c r="AB221" s="104"/>
      <c r="AC221" s="104">
        <v>0</v>
      </c>
      <c r="AD221" s="104"/>
      <c r="AE221" s="104"/>
      <c r="AF221" s="104">
        <v>0</v>
      </c>
      <c r="AG221" s="104"/>
      <c r="AH221" s="104"/>
      <c r="AI221" s="104">
        <v>0</v>
      </c>
      <c r="AJ221" s="105"/>
      <c r="AK221" s="105"/>
      <c r="AL221" s="106">
        <v>0</v>
      </c>
    </row>
    <row r="222" spans="1:38" x14ac:dyDescent="0.25">
      <c r="A222" s="73" t="s">
        <v>62</v>
      </c>
      <c r="B222" s="6" t="s">
        <v>64</v>
      </c>
      <c r="C222" s="7" t="s">
        <v>46</v>
      </c>
      <c r="D222" s="34" t="s">
        <v>45</v>
      </c>
      <c r="E222" s="107">
        <v>0</v>
      </c>
      <c r="F222" s="108"/>
      <c r="G222" s="108"/>
      <c r="H222" s="109">
        <v>0</v>
      </c>
      <c r="I222" s="109"/>
      <c r="J222" s="109"/>
      <c r="K222" s="109">
        <v>0</v>
      </c>
      <c r="L222" s="109"/>
      <c r="M222" s="109"/>
      <c r="N222" s="109">
        <v>0</v>
      </c>
      <c r="O222" s="109"/>
      <c r="P222" s="109"/>
      <c r="Q222" s="109">
        <v>0</v>
      </c>
      <c r="R222" s="109"/>
      <c r="S222" s="109"/>
      <c r="T222" s="109">
        <v>0</v>
      </c>
      <c r="U222" s="109"/>
      <c r="V222" s="109"/>
      <c r="W222" s="109">
        <v>0</v>
      </c>
      <c r="X222" s="109"/>
      <c r="Y222" s="109"/>
      <c r="Z222" s="109">
        <v>0</v>
      </c>
      <c r="AA222" s="109"/>
      <c r="AB222" s="109"/>
      <c r="AC222" s="109">
        <v>0</v>
      </c>
      <c r="AD222" s="109"/>
      <c r="AE222" s="109"/>
      <c r="AF222" s="109">
        <v>0</v>
      </c>
      <c r="AG222" s="109"/>
      <c r="AH222" s="109"/>
      <c r="AI222" s="109">
        <v>0</v>
      </c>
      <c r="AJ222" s="110"/>
      <c r="AK222" s="110"/>
      <c r="AL222" s="111">
        <v>0</v>
      </c>
    </row>
    <row r="223" spans="1:38" x14ac:dyDescent="0.25">
      <c r="A223" s="73" t="s">
        <v>62</v>
      </c>
      <c r="B223" s="6" t="s">
        <v>64</v>
      </c>
      <c r="C223" s="7" t="s">
        <v>47</v>
      </c>
      <c r="D223" s="8" t="s">
        <v>23</v>
      </c>
      <c r="E223" s="49">
        <f>IFERROR(+E217/E220,0)</f>
        <v>0</v>
      </c>
      <c r="F223" s="50"/>
      <c r="G223" s="50"/>
      <c r="H223" s="51">
        <f>IFERROR(+H217/H220,0)</f>
        <v>0</v>
      </c>
      <c r="I223" s="52"/>
      <c r="J223" s="52"/>
      <c r="K223" s="51">
        <f>IFERROR(+K217/K220,0)</f>
        <v>0</v>
      </c>
      <c r="L223" s="52"/>
      <c r="M223" s="52"/>
      <c r="N223" s="51">
        <f>IFERROR(+N217/N220,0)</f>
        <v>0</v>
      </c>
      <c r="O223" s="52"/>
      <c r="P223" s="52"/>
      <c r="Q223" s="51">
        <f>IFERROR(+Q217/Q220,0)</f>
        <v>0</v>
      </c>
      <c r="R223" s="52"/>
      <c r="S223" s="52"/>
      <c r="T223" s="51">
        <f>IFERROR(+T217/T220,0)</f>
        <v>0</v>
      </c>
      <c r="U223" s="52"/>
      <c r="V223" s="52"/>
      <c r="W223" s="51">
        <f>IFERROR(+W217/W220,0)</f>
        <v>0</v>
      </c>
      <c r="X223" s="52"/>
      <c r="Y223" s="52"/>
      <c r="Z223" s="51">
        <f>IFERROR(+Z217/Z220,0)</f>
        <v>0</v>
      </c>
      <c r="AA223" s="52"/>
      <c r="AB223" s="52"/>
      <c r="AC223" s="51">
        <f>IFERROR(+AC217/AC220,0)</f>
        <v>0</v>
      </c>
      <c r="AD223" s="52"/>
      <c r="AE223" s="52"/>
      <c r="AF223" s="51">
        <f>IFERROR(+AF217/AF220,0)</f>
        <v>0</v>
      </c>
      <c r="AG223" s="52"/>
      <c r="AH223" s="52"/>
      <c r="AI223" s="51">
        <f>IFERROR(+AI217/AI220,0)</f>
        <v>0</v>
      </c>
      <c r="AJ223" s="53"/>
      <c r="AK223" s="53"/>
      <c r="AL223" s="112">
        <f>IFERROR(+AL217/AL220,0)</f>
        <v>0</v>
      </c>
    </row>
    <row r="224" spans="1:38" x14ac:dyDescent="0.25">
      <c r="A224" s="73" t="s">
        <v>62</v>
      </c>
      <c r="B224" s="6" t="s">
        <v>64</v>
      </c>
      <c r="C224" s="7" t="s">
        <v>48</v>
      </c>
      <c r="D224" s="34" t="s">
        <v>23</v>
      </c>
      <c r="E224" s="49">
        <f>IFERROR(+E218/E221,0)</f>
        <v>0</v>
      </c>
      <c r="F224" s="50"/>
      <c r="G224" s="50"/>
      <c r="H224" s="51">
        <f>IFERROR(+H218/H221,0)</f>
        <v>0</v>
      </c>
      <c r="I224" s="52"/>
      <c r="J224" s="52"/>
      <c r="K224" s="51">
        <f>IFERROR(+K218/K221,0)</f>
        <v>0</v>
      </c>
      <c r="L224" s="52"/>
      <c r="M224" s="52"/>
      <c r="N224" s="51">
        <f>IFERROR(+N218/N221,0)</f>
        <v>0</v>
      </c>
      <c r="O224" s="52"/>
      <c r="P224" s="52"/>
      <c r="Q224" s="51">
        <f>IFERROR(+Q218/Q221,0)</f>
        <v>0</v>
      </c>
      <c r="R224" s="52"/>
      <c r="S224" s="52"/>
      <c r="T224" s="51">
        <f>IFERROR(+T218/T221,0)</f>
        <v>0</v>
      </c>
      <c r="U224" s="52"/>
      <c r="V224" s="52"/>
      <c r="W224" s="51">
        <f>IFERROR(+W218/W221,0)</f>
        <v>0</v>
      </c>
      <c r="X224" s="52"/>
      <c r="Y224" s="52"/>
      <c r="Z224" s="51">
        <f>IFERROR(+Z218/Z221,0)</f>
        <v>0</v>
      </c>
      <c r="AA224" s="52"/>
      <c r="AB224" s="52"/>
      <c r="AC224" s="51">
        <f>IFERROR(+AC218/AC221,0)</f>
        <v>0</v>
      </c>
      <c r="AD224" s="52"/>
      <c r="AE224" s="52"/>
      <c r="AF224" s="51">
        <f>IFERROR(+AF218/AF221,0)</f>
        <v>0</v>
      </c>
      <c r="AG224" s="52"/>
      <c r="AH224" s="52"/>
      <c r="AI224" s="51">
        <f>IFERROR(+AI218/AI221,0)</f>
        <v>0</v>
      </c>
      <c r="AJ224" s="53"/>
      <c r="AK224" s="53"/>
      <c r="AL224" s="112">
        <f>IFERROR(+AL218/AL221,0)</f>
        <v>0</v>
      </c>
    </row>
    <row r="225" spans="1:38" x14ac:dyDescent="0.25">
      <c r="A225" s="73" t="s">
        <v>62</v>
      </c>
      <c r="B225" s="6" t="s">
        <v>64</v>
      </c>
      <c r="C225" s="7" t="s">
        <v>49</v>
      </c>
      <c r="D225" s="34" t="s">
        <v>23</v>
      </c>
      <c r="E225" s="54">
        <f>IFERROR(+E219/E222,0)</f>
        <v>0</v>
      </c>
      <c r="F225" s="55"/>
      <c r="G225" s="55"/>
      <c r="H225" s="56">
        <f>IFERROR(+H219/H222,0)</f>
        <v>0</v>
      </c>
      <c r="I225" s="57"/>
      <c r="J225" s="57"/>
      <c r="K225" s="56">
        <f>IFERROR(+K219/K222,0)</f>
        <v>0</v>
      </c>
      <c r="L225" s="57"/>
      <c r="M225" s="57"/>
      <c r="N225" s="56">
        <f>IFERROR(+N219/N222,0)</f>
        <v>0</v>
      </c>
      <c r="O225" s="57"/>
      <c r="P225" s="57"/>
      <c r="Q225" s="56">
        <f>IFERROR(+Q219/Q222,0)</f>
        <v>0</v>
      </c>
      <c r="R225" s="57"/>
      <c r="S225" s="57"/>
      <c r="T225" s="56">
        <f>IFERROR(+T219/T222,0)</f>
        <v>0</v>
      </c>
      <c r="U225" s="57"/>
      <c r="V225" s="57"/>
      <c r="W225" s="56">
        <f>IFERROR(+W219/W222,0)</f>
        <v>0</v>
      </c>
      <c r="X225" s="57"/>
      <c r="Y225" s="57"/>
      <c r="Z225" s="56">
        <f>IFERROR(+Z219/Z222,0)</f>
        <v>0</v>
      </c>
      <c r="AA225" s="57"/>
      <c r="AB225" s="57"/>
      <c r="AC225" s="56">
        <f>IFERROR(+AC219/AC222,0)</f>
        <v>0</v>
      </c>
      <c r="AD225" s="57"/>
      <c r="AE225" s="57"/>
      <c r="AF225" s="56">
        <f>IFERROR(+AF219/AF222,0)</f>
        <v>0</v>
      </c>
      <c r="AG225" s="57"/>
      <c r="AH225" s="57"/>
      <c r="AI225" s="56">
        <f>IFERROR(+AI219/AI222,0)</f>
        <v>0</v>
      </c>
      <c r="AJ225" s="58"/>
      <c r="AK225" s="58"/>
      <c r="AL225" s="113">
        <f>IFERROR(+AL219/AL222,0)</f>
        <v>0</v>
      </c>
    </row>
    <row r="226" spans="1:38" x14ac:dyDescent="0.25">
      <c r="A226" s="73" t="s">
        <v>62</v>
      </c>
      <c r="B226" s="6" t="s">
        <v>64</v>
      </c>
      <c r="C226" s="7" t="s">
        <v>50</v>
      </c>
      <c r="D226" s="8" t="s">
        <v>23</v>
      </c>
      <c r="E226" s="59">
        <f>+[1]L.KIRDAR!C369</f>
        <v>89880.92</v>
      </c>
      <c r="F226" s="60"/>
      <c r="G226" s="60"/>
      <c r="H226" s="61">
        <f>+[1]L.KIRDAR!F369</f>
        <v>188195.51</v>
      </c>
      <c r="I226" s="61"/>
      <c r="J226" s="61"/>
      <c r="K226" s="61">
        <f>+[1]L.KIRDAR!I369</f>
        <v>52607.39</v>
      </c>
      <c r="L226" s="61"/>
      <c r="M226" s="61"/>
      <c r="N226" s="61">
        <f>+[1]L.KIRDAR!L369</f>
        <v>114419.87</v>
      </c>
      <c r="O226" s="61"/>
      <c r="P226" s="61"/>
      <c r="Q226" s="61">
        <f>+[1]L.KIRDAR!O369</f>
        <v>169285.35</v>
      </c>
      <c r="R226" s="61"/>
      <c r="S226" s="61"/>
      <c r="T226" s="61">
        <f>+[1]L.KIRDAR!R369</f>
        <v>471453.43</v>
      </c>
      <c r="U226" s="61"/>
      <c r="V226" s="61"/>
      <c r="W226" s="61">
        <f>+[1]L.KIRDAR!U369</f>
        <v>125106.64</v>
      </c>
      <c r="X226" s="61"/>
      <c r="Y226" s="61"/>
      <c r="Z226" s="61">
        <f>+[1]L.KIRDAR!X369</f>
        <v>0</v>
      </c>
      <c r="AA226" s="61"/>
      <c r="AB226" s="61"/>
      <c r="AC226" s="61">
        <f>+[1]L.KIRDAR!AA369</f>
        <v>0</v>
      </c>
      <c r="AD226" s="61"/>
      <c r="AE226" s="61"/>
      <c r="AF226" s="61">
        <f>+[1]L.KIRDAR!AD369</f>
        <v>0</v>
      </c>
      <c r="AG226" s="61"/>
      <c r="AH226" s="61"/>
      <c r="AI226" s="61">
        <f>+[1]L.KIRDAR!AG369</f>
        <v>0</v>
      </c>
      <c r="AJ226" s="62"/>
      <c r="AK226" s="62"/>
      <c r="AL226" s="114">
        <f>+[1]L.KIRDAR!AJ369</f>
        <v>0</v>
      </c>
    </row>
    <row r="227" spans="1:38" x14ac:dyDescent="0.25">
      <c r="A227" s="73" t="s">
        <v>62</v>
      </c>
      <c r="B227" s="6" t="s">
        <v>64</v>
      </c>
      <c r="C227" s="7" t="s">
        <v>51</v>
      </c>
      <c r="D227" s="8" t="s">
        <v>20</v>
      </c>
      <c r="E227" s="9"/>
      <c r="F227" s="10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2"/>
      <c r="AK227" s="12"/>
      <c r="AL227" s="74"/>
    </row>
    <row r="228" spans="1:38" x14ac:dyDescent="0.25">
      <c r="A228" s="85" t="s">
        <v>62</v>
      </c>
      <c r="B228" s="32" t="s">
        <v>64</v>
      </c>
      <c r="C228" s="33" t="s">
        <v>52</v>
      </c>
      <c r="D228" s="34" t="s">
        <v>23</v>
      </c>
      <c r="E228" s="24">
        <f>+[1]L.KIRDAR!C377</f>
        <v>108412.58284370758</v>
      </c>
      <c r="F228" s="25"/>
      <c r="G228" s="25"/>
      <c r="H228" s="26">
        <f>+[1]L.KIRDAR!F377</f>
        <v>243139.39307692525</v>
      </c>
      <c r="I228" s="26"/>
      <c r="J228" s="26"/>
      <c r="K228" s="26">
        <f>+[1]L.KIRDAR!I377</f>
        <v>72914.334260380099</v>
      </c>
      <c r="L228" s="26"/>
      <c r="M228" s="26"/>
      <c r="N228" s="26">
        <f>+[1]L.KIRDAR!L377</f>
        <v>110999.62953076237</v>
      </c>
      <c r="O228" s="26"/>
      <c r="P228" s="26"/>
      <c r="Q228" s="26">
        <f>+[1]L.KIRDAR!O377</f>
        <v>114427.18405839731</v>
      </c>
      <c r="R228" s="26"/>
      <c r="S228" s="26"/>
      <c r="T228" s="26">
        <f>+[1]L.KIRDAR!R377</f>
        <v>236249.79818316968</v>
      </c>
      <c r="U228" s="26"/>
      <c r="V228" s="26"/>
      <c r="W228" s="26">
        <f>+[1]L.KIRDAR!U377</f>
        <v>116600.17107002393</v>
      </c>
      <c r="X228" s="26"/>
      <c r="Y228" s="26"/>
      <c r="Z228" s="26">
        <f>+[1]L.KIRDAR!X377</f>
        <v>0</v>
      </c>
      <c r="AA228" s="26"/>
      <c r="AB228" s="26"/>
      <c r="AC228" s="26">
        <f>+[1]L.KIRDAR!AA377</f>
        <v>0</v>
      </c>
      <c r="AD228" s="26"/>
      <c r="AE228" s="26"/>
      <c r="AF228" s="26">
        <f>+[1]L.KIRDAR!AD377</f>
        <v>0</v>
      </c>
      <c r="AG228" s="26"/>
      <c r="AH228" s="26"/>
      <c r="AI228" s="26">
        <f>+[1]L.KIRDAR!AG377</f>
        <v>0</v>
      </c>
      <c r="AJ228" s="27"/>
      <c r="AK228" s="27"/>
      <c r="AL228" s="78">
        <f>+[1]L.KIRDAR!AJ377</f>
        <v>0</v>
      </c>
    </row>
    <row r="229" spans="1:38" x14ac:dyDescent="0.25">
      <c r="A229" s="85" t="s">
        <v>62</v>
      </c>
      <c r="B229" s="32" t="s">
        <v>64</v>
      </c>
      <c r="C229" s="33" t="s">
        <v>53</v>
      </c>
      <c r="D229" s="34" t="s">
        <v>23</v>
      </c>
      <c r="E229" s="28">
        <f>+[1]L.KIRDAR!C386-[1]L.KIRDAR!C319-[1]L.KIRDAR!C324-[1]L.KIRDAR!C341-[1]L.KIRDAR!C369-[1]L.KIRDAR!C377</f>
        <v>32352.590000000026</v>
      </c>
      <c r="F229" s="29"/>
      <c r="G229" s="29"/>
      <c r="H229" s="30">
        <f>+[1]L.KIRDAR!F386-[1]L.KIRDAR!F319-[1]L.KIRDAR!F324-[1]L.KIRDAR!F341-[1]L.KIRDAR!F369-[1]L.KIRDAR!F377</f>
        <v>0</v>
      </c>
      <c r="I229" s="30"/>
      <c r="J229" s="30"/>
      <c r="K229" s="30">
        <f>+[1]L.KIRDAR!I386-[1]L.KIRDAR!I319-[1]L.KIRDAR!I324-[1]L.KIRDAR!I341-[1]L.KIRDAR!I369-[1]L.KIRDAR!I377</f>
        <v>0</v>
      </c>
      <c r="L229" s="30"/>
      <c r="M229" s="30"/>
      <c r="N229" s="30">
        <f>+[1]L.KIRDAR!L386-[1]L.KIRDAR!L319-[1]L.KIRDAR!L324-[1]L.KIRDAR!L341-[1]L.KIRDAR!L369-[1]L.KIRDAR!L377</f>
        <v>0</v>
      </c>
      <c r="O229" s="30"/>
      <c r="P229" s="30"/>
      <c r="Q229" s="30">
        <f>+[1]L.KIRDAR!O386-[1]L.KIRDAR!O319-[1]L.KIRDAR!O324-[1]L.KIRDAR!O341-[1]L.KIRDAR!O369-[1]L.KIRDAR!O377</f>
        <v>16412.979999999894</v>
      </c>
      <c r="R229" s="30"/>
      <c r="S229" s="30"/>
      <c r="T229" s="30">
        <f>+[1]L.KIRDAR!R386-[1]L.KIRDAR!R319-[1]L.KIRDAR!R324-[1]L.KIRDAR!R341-[1]L.KIRDAR!R369-[1]L.KIRDAR!R377</f>
        <v>50810.719999999914</v>
      </c>
      <c r="U229" s="30"/>
      <c r="V229" s="30"/>
      <c r="W229" s="30">
        <f>+[1]L.KIRDAR!U386-[1]L.KIRDAR!U319-[1]L.KIRDAR!U324-[1]L.KIRDAR!U341-[1]L.KIRDAR!U369-[1]L.KIRDAR!U377</f>
        <v>4266.3199999999924</v>
      </c>
      <c r="X229" s="30"/>
      <c r="Y229" s="30"/>
      <c r="Z229" s="30">
        <f>+[1]L.KIRDAR!X386-[1]L.KIRDAR!X319-[1]L.KIRDAR!X324-[1]L.KIRDAR!X341-[1]L.KIRDAR!X369-[1]L.KIRDAR!X377</f>
        <v>0</v>
      </c>
      <c r="AA229" s="30"/>
      <c r="AB229" s="30"/>
      <c r="AC229" s="30">
        <f>+[1]L.KIRDAR!AA386-[1]L.KIRDAR!AA319-[1]L.KIRDAR!AA324-[1]L.KIRDAR!AA341-[1]L.KIRDAR!AA369-[1]L.KIRDAR!AA377</f>
        <v>0</v>
      </c>
      <c r="AD229" s="30"/>
      <c r="AE229" s="30"/>
      <c r="AF229" s="30">
        <f>+[1]L.KIRDAR!AD386-[1]L.KIRDAR!AD319-[1]L.KIRDAR!AD324-[1]L.KIRDAR!AD341-[1]L.KIRDAR!AD369-[1]L.KIRDAR!AD377</f>
        <v>0</v>
      </c>
      <c r="AG229" s="30"/>
      <c r="AH229" s="30"/>
      <c r="AI229" s="30">
        <f>+[1]L.KIRDAR!AG386-[1]L.KIRDAR!AG319-[1]L.KIRDAR!AG324-[1]L.KIRDAR!AG341-[1]L.KIRDAR!AG369-[1]L.KIRDAR!AG377</f>
        <v>0</v>
      </c>
      <c r="AJ229" s="31"/>
      <c r="AK229" s="31"/>
      <c r="AL229" s="79">
        <f>+[1]L.KIRDAR!AJ386-[1]L.KIRDAR!AJ319-[1]L.KIRDAR!AJ324-[1]L.KIRDAR!AJ341-[1]L.KIRDAR!AJ369-[1]L.KIRDAR!AJ377</f>
        <v>0</v>
      </c>
    </row>
    <row r="230" spans="1:38" x14ac:dyDescent="0.25">
      <c r="A230" s="85" t="s">
        <v>62</v>
      </c>
      <c r="B230" s="32" t="s">
        <v>64</v>
      </c>
      <c r="C230" s="33" t="s">
        <v>54</v>
      </c>
      <c r="D230" s="34" t="s">
        <v>23</v>
      </c>
      <c r="E230" s="59">
        <f>+E205+E206+E215+E217+E218+E219+E226+E228+E229</f>
        <v>398458.7228437076</v>
      </c>
      <c r="F230" s="60"/>
      <c r="G230" s="60"/>
      <c r="H230" s="61">
        <f>+H205+H206+H215+H217+H218+H219+H226+H228+H229</f>
        <v>626906.57307692524</v>
      </c>
      <c r="I230" s="61"/>
      <c r="J230" s="61"/>
      <c r="K230" s="61">
        <f>+K205+K206+K215+K217+K218+K219+K226+K228+K229</f>
        <v>252583.04426038009</v>
      </c>
      <c r="L230" s="61"/>
      <c r="M230" s="61"/>
      <c r="N230" s="61">
        <f>+N205+N206+N215+N217+N218+N219+N226+N228+N229</f>
        <v>738664.78953076235</v>
      </c>
      <c r="O230" s="61"/>
      <c r="P230" s="61"/>
      <c r="Q230" s="61">
        <f>+Q205+Q206+Q215+Q217+Q218+Q219+Q226+Q228+Q229</f>
        <v>787066.83405839722</v>
      </c>
      <c r="R230" s="61"/>
      <c r="S230" s="61"/>
      <c r="T230" s="61">
        <f>+T205+T206+T215+T217+T218+T219+T226+T228+T229</f>
        <v>1549703.5281831697</v>
      </c>
      <c r="U230" s="61"/>
      <c r="V230" s="61"/>
      <c r="W230" s="61">
        <f>+W205+W206+W215+W217+W218+W219+W226+W228+W229</f>
        <v>383239.39107002394</v>
      </c>
      <c r="X230" s="61"/>
      <c r="Y230" s="61"/>
      <c r="Z230" s="61">
        <f>+Z205+Z206+Z215+Z217+Z218+Z219+Z226+Z228+Z229</f>
        <v>0</v>
      </c>
      <c r="AA230" s="61"/>
      <c r="AB230" s="61"/>
      <c r="AC230" s="61">
        <f>+AC205+AC206+AC215+AC217+AC218+AC219+AC226+AC228+AC229</f>
        <v>0</v>
      </c>
      <c r="AD230" s="61"/>
      <c r="AE230" s="61"/>
      <c r="AF230" s="61">
        <f>+AF205+AF206+AF215+AF217+AF218+AF219+AF226+AF228+AF229</f>
        <v>0</v>
      </c>
      <c r="AG230" s="61"/>
      <c r="AH230" s="61"/>
      <c r="AI230" s="61">
        <f>+AI205+AI206+AI215+AI217+AI218+AI219+AI226+AI228+AI229</f>
        <v>0</v>
      </c>
      <c r="AJ230" s="62"/>
      <c r="AK230" s="62"/>
      <c r="AL230" s="114">
        <f>+AL205+AL206+AL215+AL217+AL218+AL219+AL226+AL228+AL229</f>
        <v>0</v>
      </c>
    </row>
    <row r="231" spans="1:38" ht="15.75" thickBot="1" x14ac:dyDescent="0.3">
      <c r="A231" s="115" t="s">
        <v>62</v>
      </c>
      <c r="B231" s="116" t="s">
        <v>64</v>
      </c>
      <c r="C231" s="117" t="s">
        <v>55</v>
      </c>
      <c r="D231" s="118" t="s">
        <v>23</v>
      </c>
      <c r="E231" s="119">
        <f>+E230-[1]L.KIRDAR!C386</f>
        <v>0</v>
      </c>
      <c r="F231" s="120"/>
      <c r="G231" s="120"/>
      <c r="H231" s="121">
        <f>+H230-[1]L.KIRDAR!F386</f>
        <v>0</v>
      </c>
      <c r="I231" s="121"/>
      <c r="J231" s="121"/>
      <c r="K231" s="121">
        <f>+K230-[1]L.KIRDAR!I386</f>
        <v>0</v>
      </c>
      <c r="L231" s="121"/>
      <c r="M231" s="121"/>
      <c r="N231" s="121">
        <f>+N230-[1]L.KIRDAR!L386</f>
        <v>0</v>
      </c>
      <c r="O231" s="121"/>
      <c r="P231" s="121"/>
      <c r="Q231" s="121">
        <f>+Q230-[1]L.KIRDAR!O386</f>
        <v>0</v>
      </c>
      <c r="R231" s="121"/>
      <c r="S231" s="121"/>
      <c r="T231" s="121">
        <f>+T230-[1]L.KIRDAR!R386</f>
        <v>0</v>
      </c>
      <c r="U231" s="121"/>
      <c r="V231" s="121"/>
      <c r="W231" s="121">
        <f>+W230-[1]L.KIRDAR!U386</f>
        <v>0</v>
      </c>
      <c r="X231" s="121"/>
      <c r="Y231" s="121"/>
      <c r="Z231" s="121">
        <f>+Z230-[1]L.KIRDAR!X386</f>
        <v>0</v>
      </c>
      <c r="AA231" s="121"/>
      <c r="AB231" s="121"/>
      <c r="AC231" s="121">
        <f>+AC230-[1]L.KIRDAR!AA386</f>
        <v>0</v>
      </c>
      <c r="AD231" s="121"/>
      <c r="AE231" s="121"/>
      <c r="AF231" s="121">
        <f>+AF230-[1]L.KIRDAR!AD386</f>
        <v>0</v>
      </c>
      <c r="AG231" s="121"/>
      <c r="AH231" s="121"/>
      <c r="AI231" s="121">
        <f>+AI230-[1]L.KIRDAR!AG386</f>
        <v>0</v>
      </c>
      <c r="AJ231" s="122"/>
      <c r="AK231" s="122"/>
      <c r="AL231" s="123">
        <f>+AL230-[1]L.KIRDAR!AJ386</f>
        <v>0</v>
      </c>
    </row>
    <row r="232" spans="1:38" x14ac:dyDescent="0.25">
      <c r="A232" s="64" t="s">
        <v>62</v>
      </c>
      <c r="B232" s="65" t="s">
        <v>65</v>
      </c>
      <c r="C232" s="66" t="s">
        <v>19</v>
      </c>
      <c r="D232" s="67" t="s">
        <v>20</v>
      </c>
      <c r="E232" s="68">
        <f>+[1]L.KIRDAR!C399</f>
        <v>0</v>
      </c>
      <c r="F232" s="69"/>
      <c r="G232" s="69"/>
      <c r="H232" s="70">
        <f>+[1]L.KIRDAR!F399</f>
        <v>0</v>
      </c>
      <c r="I232" s="70"/>
      <c r="J232" s="70"/>
      <c r="K232" s="70">
        <f>+[1]L.KIRDAR!I399</f>
        <v>5450</v>
      </c>
      <c r="L232" s="70"/>
      <c r="M232" s="70"/>
      <c r="N232" s="70">
        <f>+[1]L.KIRDAR!L399</f>
        <v>7796</v>
      </c>
      <c r="O232" s="70"/>
      <c r="P232" s="70"/>
      <c r="Q232" s="70">
        <f>+[1]L.KIRDAR!O399</f>
        <v>16090</v>
      </c>
      <c r="R232" s="70"/>
      <c r="S232" s="70"/>
      <c r="T232" s="70">
        <f>+[1]L.KIRDAR!R399</f>
        <v>11170</v>
      </c>
      <c r="U232" s="70"/>
      <c r="V232" s="70"/>
      <c r="W232" s="70">
        <f>+[1]L.KIRDAR!U399</f>
        <v>582</v>
      </c>
      <c r="X232" s="70"/>
      <c r="Y232" s="70"/>
      <c r="Z232" s="70">
        <f>+[1]L.KIRDAR!X399</f>
        <v>0</v>
      </c>
      <c r="AA232" s="70"/>
      <c r="AB232" s="70"/>
      <c r="AC232" s="70">
        <f>+[1]L.KIRDAR!AA399</f>
        <v>0</v>
      </c>
      <c r="AD232" s="70"/>
      <c r="AE232" s="70"/>
      <c r="AF232" s="70">
        <f>+[1]L.KIRDAR!AD399</f>
        <v>0</v>
      </c>
      <c r="AG232" s="70"/>
      <c r="AH232" s="70"/>
      <c r="AI232" s="70">
        <f>+[1]L.KIRDAR!AG399</f>
        <v>0</v>
      </c>
      <c r="AJ232" s="71"/>
      <c r="AK232" s="71"/>
      <c r="AL232" s="72">
        <f>+[1]L.KIRDAR!AJ399</f>
        <v>0</v>
      </c>
    </row>
    <row r="233" spans="1:38" x14ac:dyDescent="0.25">
      <c r="A233" s="73" t="s">
        <v>62</v>
      </c>
      <c r="B233" s="6" t="s">
        <v>65</v>
      </c>
      <c r="C233" s="7" t="s">
        <v>21</v>
      </c>
      <c r="D233" s="8" t="s">
        <v>20</v>
      </c>
      <c r="E233" s="9"/>
      <c r="F233" s="10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2"/>
      <c r="AK233" s="12"/>
      <c r="AL233" s="74"/>
    </row>
    <row r="234" spans="1:38" x14ac:dyDescent="0.25">
      <c r="A234" s="73" t="s">
        <v>62</v>
      </c>
      <c r="B234" s="6" t="s">
        <v>65</v>
      </c>
      <c r="C234" s="7" t="s">
        <v>22</v>
      </c>
      <c r="D234" s="8" t="s">
        <v>23</v>
      </c>
      <c r="E234" s="13">
        <f>+[1]L.KIRDAR!C394</f>
        <v>2430732.4899999998</v>
      </c>
      <c r="F234" s="14"/>
      <c r="G234" s="14"/>
      <c r="H234" s="15">
        <f>+[1]L.KIRDAR!F394</f>
        <v>2032138.53</v>
      </c>
      <c r="I234" s="14"/>
      <c r="J234" s="14"/>
      <c r="K234" s="13">
        <f>+[1]L.KIRDAR!I394</f>
        <v>1390836.7400000002</v>
      </c>
      <c r="L234" s="14"/>
      <c r="M234" s="14"/>
      <c r="N234" s="15">
        <f>+[1]L.KIRDAR!L394</f>
        <v>3983980.5300000003</v>
      </c>
      <c r="O234" s="15"/>
      <c r="P234" s="15"/>
      <c r="Q234" s="15">
        <f>+[1]L.KIRDAR!O394</f>
        <v>13216587.379999999</v>
      </c>
      <c r="R234" s="15"/>
      <c r="S234" s="15"/>
      <c r="T234" s="15">
        <f>+[1]L.KIRDAR!R394</f>
        <v>23014411.09</v>
      </c>
      <c r="U234" s="15"/>
      <c r="V234" s="15"/>
      <c r="W234" s="15">
        <f>+[1]L.KIRDAR!U394</f>
        <v>1146564.6600000001</v>
      </c>
      <c r="X234" s="15"/>
      <c r="Y234" s="15"/>
      <c r="Z234" s="15">
        <f>+[1]L.KIRDAR!X394</f>
        <v>0</v>
      </c>
      <c r="AA234" s="15"/>
      <c r="AB234" s="15"/>
      <c r="AC234" s="15">
        <f>+[1]L.KIRDAR!AA394</f>
        <v>0</v>
      </c>
      <c r="AD234" s="15"/>
      <c r="AE234" s="15"/>
      <c r="AF234" s="15">
        <f>+[1]L.KIRDAR!AD394</f>
        <v>0</v>
      </c>
      <c r="AG234" s="15"/>
      <c r="AH234" s="15"/>
      <c r="AI234" s="15">
        <f>+[1]L.KIRDAR!AG394</f>
        <v>0</v>
      </c>
      <c r="AJ234" s="16"/>
      <c r="AK234" s="16"/>
      <c r="AL234" s="75">
        <f>+[1]L.KIRDAR!AJ394</f>
        <v>0</v>
      </c>
    </row>
    <row r="235" spans="1:38" x14ac:dyDescent="0.25">
      <c r="A235" s="73" t="s">
        <v>62</v>
      </c>
      <c r="B235" s="6" t="s">
        <v>65</v>
      </c>
      <c r="C235" s="7" t="s">
        <v>24</v>
      </c>
      <c r="D235" s="8" t="s">
        <v>23</v>
      </c>
      <c r="E235" s="13">
        <f>+[1]L.KIRDAR!C395</f>
        <v>967846.47</v>
      </c>
      <c r="F235" s="17"/>
      <c r="G235" s="17"/>
      <c r="H235" s="18">
        <f>+[1]L.KIRDAR!F395</f>
        <v>879822.73</v>
      </c>
      <c r="I235" s="18"/>
      <c r="J235" s="18"/>
      <c r="K235" s="18">
        <f>+[1]L.KIRDAR!I395</f>
        <v>786919.53</v>
      </c>
      <c r="L235" s="18"/>
      <c r="M235" s="18"/>
      <c r="N235" s="18">
        <f>+[1]L.KIRDAR!L395</f>
        <v>1601718.47</v>
      </c>
      <c r="O235" s="18"/>
      <c r="P235" s="18"/>
      <c r="Q235" s="18">
        <f>+[1]L.KIRDAR!O395</f>
        <v>6692711.3500000006</v>
      </c>
      <c r="R235" s="18"/>
      <c r="S235" s="18"/>
      <c r="T235" s="18">
        <f>+[1]L.KIRDAR!R395</f>
        <v>13206991.23</v>
      </c>
      <c r="U235" s="18"/>
      <c r="V235" s="18"/>
      <c r="W235" s="18">
        <f>+[1]L.KIRDAR!U395</f>
        <v>1569272.6199999999</v>
      </c>
      <c r="X235" s="18"/>
      <c r="Y235" s="18"/>
      <c r="Z235" s="18">
        <f>+[1]L.KIRDAR!X395</f>
        <v>0</v>
      </c>
      <c r="AA235" s="18"/>
      <c r="AB235" s="18"/>
      <c r="AC235" s="18">
        <f>+[1]L.KIRDAR!AA395</f>
        <v>0</v>
      </c>
      <c r="AD235" s="18"/>
      <c r="AE235" s="18"/>
      <c r="AF235" s="18">
        <f>+[1]L.KIRDAR!AD395</f>
        <v>0</v>
      </c>
      <c r="AG235" s="18"/>
      <c r="AH235" s="18"/>
      <c r="AI235" s="18">
        <f>+[1]L.KIRDAR!AG395</f>
        <v>0</v>
      </c>
      <c r="AJ235" s="19"/>
      <c r="AK235" s="19"/>
      <c r="AL235" s="76">
        <f>+[1]L.KIRDAR!AJ395</f>
        <v>0</v>
      </c>
    </row>
    <row r="236" spans="1:38" x14ac:dyDescent="0.25">
      <c r="A236" s="73" t="s">
        <v>62</v>
      </c>
      <c r="B236" s="6" t="s">
        <v>65</v>
      </c>
      <c r="C236" s="7" t="s">
        <v>25</v>
      </c>
      <c r="D236" s="8" t="s">
        <v>23</v>
      </c>
      <c r="E236" s="20">
        <f>+[1]L.KIRDAR!C398-[1]L.KIRDAR!C394-[1]L.KIRDAR!C395</f>
        <v>810739.51</v>
      </c>
      <c r="F236" s="21"/>
      <c r="G236" s="21"/>
      <c r="H236" s="22">
        <f>+[1]L.KIRDAR!F398-[1]L.KIRDAR!F394-[1]L.KIRDAR!F395</f>
        <v>744947.89999999967</v>
      </c>
      <c r="I236" s="22"/>
      <c r="J236" s="22"/>
      <c r="K236" s="22">
        <f>+[1]L.KIRDAR!I398-[1]L.KIRDAR!I394-[1]L.KIRDAR!I395</f>
        <v>669538.33000000031</v>
      </c>
      <c r="L236" s="22"/>
      <c r="M236" s="22"/>
      <c r="N236" s="22">
        <f>+[1]L.KIRDAR!L398-[1]L.KIRDAR!L394-[1]L.KIRDAR!L395</f>
        <v>1510388.5600000003</v>
      </c>
      <c r="O236" s="22"/>
      <c r="P236" s="22"/>
      <c r="Q236" s="22">
        <f>+[1]L.KIRDAR!O398-[1]L.KIRDAR!O394-[1]L.KIRDAR!O395</f>
        <v>1024275.0300000021</v>
      </c>
      <c r="R236" s="22"/>
      <c r="S236" s="22"/>
      <c r="T236" s="22">
        <f>+[1]L.KIRDAR!R398-[1]L.KIRDAR!R394-[1]L.KIRDAR!R395</f>
        <v>852845.96000000089</v>
      </c>
      <c r="U236" s="22"/>
      <c r="V236" s="22"/>
      <c r="W236" s="22">
        <f>+[1]L.KIRDAR!U398-[1]L.KIRDAR!U394-[1]L.KIRDAR!U395</f>
        <v>633554.87000000034</v>
      </c>
      <c r="X236" s="22"/>
      <c r="Y236" s="22"/>
      <c r="Z236" s="22">
        <f>+[1]L.KIRDAR!X398-[1]L.KIRDAR!X394-[1]L.KIRDAR!X395</f>
        <v>0</v>
      </c>
      <c r="AA236" s="22"/>
      <c r="AB236" s="22"/>
      <c r="AC236" s="22">
        <f>+[1]L.KIRDAR!AA398-[1]L.KIRDAR!AA394-[1]L.KIRDAR!AA395</f>
        <v>0</v>
      </c>
      <c r="AD236" s="22"/>
      <c r="AE236" s="22"/>
      <c r="AF236" s="22">
        <f>+[1]L.KIRDAR!AD398-[1]L.KIRDAR!AD394-[1]L.KIRDAR!AD395</f>
        <v>0</v>
      </c>
      <c r="AG236" s="22"/>
      <c r="AH236" s="22"/>
      <c r="AI236" s="22">
        <f>+[1]L.KIRDAR!AG398-[1]L.KIRDAR!AG394-[1]L.KIRDAR!AG395</f>
        <v>0</v>
      </c>
      <c r="AJ236" s="23"/>
      <c r="AK236" s="23"/>
      <c r="AL236" s="77">
        <f>+[1]L.KIRDAR!AJ398-[1]L.KIRDAR!AJ394-[1]L.KIRDAR!AJ395</f>
        <v>0</v>
      </c>
    </row>
    <row r="237" spans="1:38" x14ac:dyDescent="0.25">
      <c r="A237" s="73" t="s">
        <v>62</v>
      </c>
      <c r="B237" s="6" t="s">
        <v>65</v>
      </c>
      <c r="C237" s="7" t="s">
        <v>26</v>
      </c>
      <c r="D237" s="8" t="s">
        <v>23</v>
      </c>
      <c r="E237" s="24">
        <f>+[1]L.KIRDAR!C419</f>
        <v>606143.42000000004</v>
      </c>
      <c r="F237" s="25"/>
      <c r="G237" s="25"/>
      <c r="H237" s="26">
        <f>+[1]L.KIRDAR!F419</f>
        <v>282851.96999999997</v>
      </c>
      <c r="I237" s="26"/>
      <c r="J237" s="26"/>
      <c r="K237" s="26">
        <f>+[1]L.KIRDAR!I419</f>
        <v>972821.45</v>
      </c>
      <c r="L237" s="26"/>
      <c r="M237" s="26"/>
      <c r="N237" s="26">
        <f>+[1]L.KIRDAR!L419</f>
        <v>937626.92</v>
      </c>
      <c r="O237" s="26"/>
      <c r="P237" s="26"/>
      <c r="Q237" s="26">
        <f>+[1]L.KIRDAR!O419</f>
        <v>2262486.7399999998</v>
      </c>
      <c r="R237" s="26"/>
      <c r="S237" s="26"/>
      <c r="T237" s="26">
        <f>+[1]L.KIRDAR!R419</f>
        <v>3196556.8</v>
      </c>
      <c r="U237" s="26"/>
      <c r="V237" s="26"/>
      <c r="W237" s="26">
        <f>+[1]L.KIRDAR!U419</f>
        <v>373979.97</v>
      </c>
      <c r="X237" s="26"/>
      <c r="Y237" s="26"/>
      <c r="Z237" s="26">
        <f>+[1]L.KIRDAR!X419</f>
        <v>0</v>
      </c>
      <c r="AA237" s="26"/>
      <c r="AB237" s="26"/>
      <c r="AC237" s="26">
        <f>+[1]L.KIRDAR!AA419</f>
        <v>0</v>
      </c>
      <c r="AD237" s="26"/>
      <c r="AE237" s="26"/>
      <c r="AF237" s="26">
        <f>+[1]L.KIRDAR!AD419</f>
        <v>0</v>
      </c>
      <c r="AG237" s="26"/>
      <c r="AH237" s="26"/>
      <c r="AI237" s="26">
        <f>+[1]L.KIRDAR!AG419</f>
        <v>0</v>
      </c>
      <c r="AJ237" s="27"/>
      <c r="AK237" s="27"/>
      <c r="AL237" s="78">
        <f>+[1]L.KIRDAR!AJ419</f>
        <v>0</v>
      </c>
    </row>
    <row r="238" spans="1:38" x14ac:dyDescent="0.25">
      <c r="A238" s="73" t="s">
        <v>62</v>
      </c>
      <c r="B238" s="6" t="s">
        <v>65</v>
      </c>
      <c r="C238" s="7" t="s">
        <v>27</v>
      </c>
      <c r="D238" s="8" t="s">
        <v>23</v>
      </c>
      <c r="E238" s="28">
        <f>+[1]L.KIRDAR!C420</f>
        <v>249597.43</v>
      </c>
      <c r="F238" s="29"/>
      <c r="G238" s="29"/>
      <c r="H238" s="30">
        <f>+[1]L.KIRDAR!F420</f>
        <v>181116.22</v>
      </c>
      <c r="I238" s="30"/>
      <c r="J238" s="30"/>
      <c r="K238" s="30">
        <f>+[1]L.KIRDAR!I420</f>
        <v>312463.03999999998</v>
      </c>
      <c r="L238" s="30"/>
      <c r="M238" s="30"/>
      <c r="N238" s="30">
        <f>+[1]L.KIRDAR!L420</f>
        <v>522643.27</v>
      </c>
      <c r="O238" s="30"/>
      <c r="P238" s="30"/>
      <c r="Q238" s="30">
        <f>+[1]L.KIRDAR!O420</f>
        <v>725354.72</v>
      </c>
      <c r="R238" s="30"/>
      <c r="S238" s="30"/>
      <c r="T238" s="30">
        <f>+[1]L.KIRDAR!R420</f>
        <v>1138769.7200000002</v>
      </c>
      <c r="U238" s="30"/>
      <c r="V238" s="30"/>
      <c r="W238" s="30">
        <f>+[1]L.KIRDAR!U420</f>
        <v>10727.42</v>
      </c>
      <c r="X238" s="30"/>
      <c r="Y238" s="30"/>
      <c r="Z238" s="30">
        <f>+[1]L.KIRDAR!X420</f>
        <v>0</v>
      </c>
      <c r="AA238" s="30"/>
      <c r="AB238" s="30"/>
      <c r="AC238" s="30">
        <f>+[1]L.KIRDAR!AA420</f>
        <v>0</v>
      </c>
      <c r="AD238" s="30"/>
      <c r="AE238" s="30"/>
      <c r="AF238" s="30">
        <f>+[1]L.KIRDAR!AD420</f>
        <v>0</v>
      </c>
      <c r="AG238" s="30"/>
      <c r="AH238" s="30"/>
      <c r="AI238" s="30">
        <f>+[1]L.KIRDAR!AG420</f>
        <v>0</v>
      </c>
      <c r="AJ238" s="31"/>
      <c r="AK238" s="31"/>
      <c r="AL238" s="79">
        <f>+[1]L.KIRDAR!AJ420</f>
        <v>0</v>
      </c>
    </row>
    <row r="239" spans="1:38" x14ac:dyDescent="0.25">
      <c r="A239" s="73" t="s">
        <v>62</v>
      </c>
      <c r="B239" s="6" t="s">
        <v>65</v>
      </c>
      <c r="C239" s="7" t="s">
        <v>28</v>
      </c>
      <c r="D239" s="8" t="s">
        <v>29</v>
      </c>
      <c r="E239" s="124">
        <f>+[1]L.KIRDAR!C403</f>
        <v>16.600000000000001</v>
      </c>
      <c r="F239" s="125"/>
      <c r="G239" s="125"/>
      <c r="H239" s="126">
        <f>+[1]L.KIRDAR!F403</f>
        <v>17</v>
      </c>
      <c r="I239" s="126"/>
      <c r="J239" s="126"/>
      <c r="K239" s="126">
        <f>+[1]L.KIRDAR!I403</f>
        <v>18.87</v>
      </c>
      <c r="L239" s="126"/>
      <c r="M239" s="126"/>
      <c r="N239" s="126">
        <f>+[1]L.KIRDAR!L403</f>
        <v>16.53</v>
      </c>
      <c r="O239" s="126"/>
      <c r="P239" s="126"/>
      <c r="Q239" s="126">
        <f>+[1]L.KIRDAR!O403</f>
        <v>17.07</v>
      </c>
      <c r="R239" s="126"/>
      <c r="S239" s="126"/>
      <c r="T239" s="126">
        <f>+[1]L.KIRDAR!R403</f>
        <v>19.600000000000001</v>
      </c>
      <c r="U239" s="126"/>
      <c r="V239" s="126"/>
      <c r="W239" s="126">
        <f>+[1]L.KIRDAR!U403</f>
        <v>20.43</v>
      </c>
      <c r="X239" s="126"/>
      <c r="Y239" s="126"/>
      <c r="Z239" s="126">
        <f>+[1]L.KIRDAR!X403</f>
        <v>0</v>
      </c>
      <c r="AA239" s="126"/>
      <c r="AB239" s="126"/>
      <c r="AC239" s="126">
        <f>+[1]L.KIRDAR!AA403</f>
        <v>0</v>
      </c>
      <c r="AD239" s="126"/>
      <c r="AE239" s="126"/>
      <c r="AF239" s="126">
        <f>+[1]L.KIRDAR!AD403</f>
        <v>0</v>
      </c>
      <c r="AG239" s="126"/>
      <c r="AH239" s="126"/>
      <c r="AI239" s="126">
        <f>+[1]L.KIRDAR!AG403</f>
        <v>0</v>
      </c>
      <c r="AJ239" s="127"/>
      <c r="AK239" s="127"/>
      <c r="AL239" s="128">
        <f>+[1]L.KIRDAR!AJ403</f>
        <v>0</v>
      </c>
    </row>
    <row r="240" spans="1:38" x14ac:dyDescent="0.25">
      <c r="A240" s="85" t="s">
        <v>62</v>
      </c>
      <c r="B240" s="32" t="s">
        <v>65</v>
      </c>
      <c r="C240" s="33" t="s">
        <v>30</v>
      </c>
      <c r="D240" s="34" t="s">
        <v>29</v>
      </c>
      <c r="E240" s="129">
        <f>+[1]L.KIRDAR!C404</f>
        <v>2</v>
      </c>
      <c r="F240" s="130"/>
      <c r="G240" s="130"/>
      <c r="H240" s="131">
        <f>+[1]L.KIRDAR!F404</f>
        <v>1</v>
      </c>
      <c r="I240" s="131"/>
      <c r="J240" s="131"/>
      <c r="K240" s="131">
        <f>+[1]L.KIRDAR!I404</f>
        <v>1</v>
      </c>
      <c r="L240" s="131"/>
      <c r="M240" s="131"/>
      <c r="N240" s="131">
        <f>+[1]L.KIRDAR!L404</f>
        <v>0</v>
      </c>
      <c r="O240" s="131"/>
      <c r="P240" s="131"/>
      <c r="Q240" s="131">
        <f>+[1]L.KIRDAR!O404</f>
        <v>0</v>
      </c>
      <c r="R240" s="131"/>
      <c r="S240" s="131"/>
      <c r="T240" s="131">
        <f>+[1]L.KIRDAR!R404</f>
        <v>0</v>
      </c>
      <c r="U240" s="131"/>
      <c r="V240" s="131"/>
      <c r="W240" s="131">
        <f>+[1]L.KIRDAR!U404</f>
        <v>0</v>
      </c>
      <c r="X240" s="131"/>
      <c r="Y240" s="131"/>
      <c r="Z240" s="131">
        <f>+[1]L.KIRDAR!X404</f>
        <v>0</v>
      </c>
      <c r="AA240" s="131"/>
      <c r="AB240" s="131"/>
      <c r="AC240" s="131">
        <f>+[1]L.KIRDAR!AA404</f>
        <v>0</v>
      </c>
      <c r="AD240" s="131"/>
      <c r="AE240" s="131"/>
      <c r="AF240" s="131">
        <f>+[1]L.KIRDAR!AD404</f>
        <v>0</v>
      </c>
      <c r="AG240" s="131"/>
      <c r="AH240" s="131"/>
      <c r="AI240" s="131">
        <f>+[1]L.KIRDAR!AG404</f>
        <v>0</v>
      </c>
      <c r="AJ240" s="132"/>
      <c r="AK240" s="132"/>
      <c r="AL240" s="133">
        <f>+[1]L.KIRDAR!AJ404</f>
        <v>0</v>
      </c>
    </row>
    <row r="241" spans="1:38" x14ac:dyDescent="0.25">
      <c r="A241" s="85" t="s">
        <v>62</v>
      </c>
      <c r="B241" s="32" t="s">
        <v>65</v>
      </c>
      <c r="C241" s="33" t="s">
        <v>31</v>
      </c>
      <c r="D241" s="34" t="s">
        <v>29</v>
      </c>
      <c r="E241" s="129">
        <f>+[1]L.KIRDAR!C405</f>
        <v>4.7</v>
      </c>
      <c r="F241" s="130"/>
      <c r="G241" s="130"/>
      <c r="H241" s="131">
        <f>+[1]L.KIRDAR!F405</f>
        <v>0</v>
      </c>
      <c r="I241" s="131"/>
      <c r="J241" s="131"/>
      <c r="K241" s="131">
        <f>+[1]L.KIRDAR!I405</f>
        <v>0</v>
      </c>
      <c r="L241" s="131"/>
      <c r="M241" s="131"/>
      <c r="N241" s="131">
        <f>+[1]L.KIRDAR!L405</f>
        <v>7.83</v>
      </c>
      <c r="O241" s="131"/>
      <c r="P241" s="131"/>
      <c r="Q241" s="131">
        <f>+[1]L.KIRDAR!O405</f>
        <v>8.93</v>
      </c>
      <c r="R241" s="131"/>
      <c r="S241" s="131"/>
      <c r="T241" s="131">
        <f>+[1]L.KIRDAR!R405</f>
        <v>41.17</v>
      </c>
      <c r="U241" s="131"/>
      <c r="V241" s="131"/>
      <c r="W241" s="131">
        <f>+[1]L.KIRDAR!U405</f>
        <v>3</v>
      </c>
      <c r="X241" s="131"/>
      <c r="Y241" s="131"/>
      <c r="Z241" s="131">
        <f>+[1]L.KIRDAR!X405</f>
        <v>0</v>
      </c>
      <c r="AA241" s="131"/>
      <c r="AB241" s="131"/>
      <c r="AC241" s="131">
        <f>+[1]L.KIRDAR!AA405</f>
        <v>0</v>
      </c>
      <c r="AD241" s="131"/>
      <c r="AE241" s="131"/>
      <c r="AF241" s="131">
        <f>+[1]L.KIRDAR!AD405</f>
        <v>0</v>
      </c>
      <c r="AG241" s="131"/>
      <c r="AH241" s="131"/>
      <c r="AI241" s="131">
        <f>+[1]L.KIRDAR!AG405</f>
        <v>0</v>
      </c>
      <c r="AJ241" s="132"/>
      <c r="AK241" s="132"/>
      <c r="AL241" s="133">
        <f>+[1]L.KIRDAR!AJ405</f>
        <v>0</v>
      </c>
    </row>
    <row r="242" spans="1:38" x14ac:dyDescent="0.25">
      <c r="A242" s="85" t="s">
        <v>62</v>
      </c>
      <c r="B242" s="32" t="s">
        <v>65</v>
      </c>
      <c r="C242" s="33" t="s">
        <v>32</v>
      </c>
      <c r="D242" s="34" t="s">
        <v>29</v>
      </c>
      <c r="E242" s="129">
        <f>+[1]L.KIRDAR!C406</f>
        <v>0</v>
      </c>
      <c r="F242" s="130"/>
      <c r="G242" s="130"/>
      <c r="H242" s="131">
        <f>+[1]L.KIRDAR!F406</f>
        <v>0</v>
      </c>
      <c r="I242" s="131"/>
      <c r="J242" s="131"/>
      <c r="K242" s="131">
        <f>+[1]L.KIRDAR!I406</f>
        <v>0</v>
      </c>
      <c r="L242" s="131"/>
      <c r="M242" s="131"/>
      <c r="N242" s="131">
        <f>+[1]L.KIRDAR!L406</f>
        <v>0</v>
      </c>
      <c r="O242" s="131"/>
      <c r="P242" s="131"/>
      <c r="Q242" s="131">
        <f>+[1]L.KIRDAR!O406</f>
        <v>0</v>
      </c>
      <c r="R242" s="131"/>
      <c r="S242" s="131"/>
      <c r="T242" s="131">
        <f>+[1]L.KIRDAR!R406</f>
        <v>0</v>
      </c>
      <c r="U242" s="131"/>
      <c r="V242" s="131"/>
      <c r="W242" s="131">
        <f>+[1]L.KIRDAR!U406</f>
        <v>0</v>
      </c>
      <c r="X242" s="131"/>
      <c r="Y242" s="131"/>
      <c r="Z242" s="131">
        <f>+[1]L.KIRDAR!X406</f>
        <v>0</v>
      </c>
      <c r="AA242" s="131"/>
      <c r="AB242" s="131"/>
      <c r="AC242" s="131">
        <f>+[1]L.KIRDAR!AA406</f>
        <v>0</v>
      </c>
      <c r="AD242" s="131"/>
      <c r="AE242" s="131"/>
      <c r="AF242" s="131">
        <f>+[1]L.KIRDAR!AD406</f>
        <v>0</v>
      </c>
      <c r="AG242" s="131"/>
      <c r="AH242" s="131"/>
      <c r="AI242" s="131">
        <f>+[1]L.KIRDAR!AG406</f>
        <v>0</v>
      </c>
      <c r="AJ242" s="132"/>
      <c r="AK242" s="132"/>
      <c r="AL242" s="133">
        <f>+[1]L.KIRDAR!AJ406</f>
        <v>0</v>
      </c>
    </row>
    <row r="243" spans="1:38" x14ac:dyDescent="0.25">
      <c r="A243" s="85" t="s">
        <v>62</v>
      </c>
      <c r="B243" s="32" t="s">
        <v>65</v>
      </c>
      <c r="C243" s="33" t="s">
        <v>33</v>
      </c>
      <c r="D243" s="34" t="s">
        <v>29</v>
      </c>
      <c r="E243" s="129">
        <f>SUM(E239:E242)</f>
        <v>23.3</v>
      </c>
      <c r="F243" s="130"/>
      <c r="G243" s="130"/>
      <c r="H243" s="129">
        <f>SUM(H239:H242)</f>
        <v>18</v>
      </c>
      <c r="I243" s="131"/>
      <c r="J243" s="131"/>
      <c r="K243" s="129">
        <f>SUM(K239:K242)</f>
        <v>19.87</v>
      </c>
      <c r="L243" s="131"/>
      <c r="M243" s="131"/>
      <c r="N243" s="129">
        <f>SUM(N239:N242)</f>
        <v>24.36</v>
      </c>
      <c r="O243" s="131"/>
      <c r="P243" s="131"/>
      <c r="Q243" s="129">
        <f>SUM(Q239:Q242)</f>
        <v>26</v>
      </c>
      <c r="R243" s="131"/>
      <c r="S243" s="131"/>
      <c r="T243" s="129">
        <f>SUM(T239:T242)</f>
        <v>60.77</v>
      </c>
      <c r="U243" s="131"/>
      <c r="V243" s="131"/>
      <c r="W243" s="129">
        <f>SUM(W239:W242)</f>
        <v>23.43</v>
      </c>
      <c r="X243" s="131"/>
      <c r="Y243" s="131"/>
      <c r="Z243" s="129">
        <f>SUM(Z239:Z242)</f>
        <v>0</v>
      </c>
      <c r="AA243" s="131"/>
      <c r="AB243" s="131"/>
      <c r="AC243" s="129">
        <f>SUM(AC239:AC242)</f>
        <v>0</v>
      </c>
      <c r="AD243" s="131"/>
      <c r="AE243" s="131"/>
      <c r="AF243" s="129">
        <f>SUM(AF239:AF242)</f>
        <v>0</v>
      </c>
      <c r="AG243" s="131"/>
      <c r="AH243" s="131"/>
      <c r="AI243" s="129">
        <f>SUM(AI239:AI242)</f>
        <v>0</v>
      </c>
      <c r="AJ243" s="132"/>
      <c r="AK243" s="132"/>
      <c r="AL243" s="134">
        <f>SUM(AL239:AL242)</f>
        <v>0</v>
      </c>
    </row>
    <row r="244" spans="1:38" x14ac:dyDescent="0.25">
      <c r="A244" s="85" t="s">
        <v>62</v>
      </c>
      <c r="B244" s="32" t="s">
        <v>65</v>
      </c>
      <c r="C244" s="33" t="s">
        <v>34</v>
      </c>
      <c r="D244" s="34" t="s">
        <v>23</v>
      </c>
      <c r="E244" s="35">
        <f>+[1]L.KIRDAR!C410+[1]L.KIRDAR!C411+[1]L.KIRDAR!C412+[1]L.KIRDAR!C413</f>
        <v>1706878.7500000002</v>
      </c>
      <c r="F244" s="36"/>
      <c r="G244" s="36"/>
      <c r="H244" s="35">
        <f>+[1]L.KIRDAR!F410+[1]L.KIRDAR!F411+[1]L.KIRDAR!F412+[1]L.KIRDAR!F413</f>
        <v>1908982.1500000004</v>
      </c>
      <c r="I244" s="18"/>
      <c r="J244" s="18"/>
      <c r="K244" s="35">
        <f>+[1]L.KIRDAR!I410+[1]L.KIRDAR!I411+[1]L.KIRDAR!I412+[1]L.KIRDAR!I413</f>
        <v>1751276.5798195989</v>
      </c>
      <c r="L244" s="18"/>
      <c r="M244" s="18"/>
      <c r="N244" s="35">
        <f>+[1]L.KIRDAR!L410+[1]L.KIRDAR!L411+[1]L.KIRDAR!L412+[1]L.KIRDAR!L413</f>
        <v>1625551.3267633987</v>
      </c>
      <c r="O244" s="18"/>
      <c r="P244" s="18"/>
      <c r="Q244" s="35">
        <f>+[1]L.KIRDAR!O410+[1]L.KIRDAR!O411+[1]L.KIRDAR!O412+[1]L.KIRDAR!O413</f>
        <v>2509924.2730843225</v>
      </c>
      <c r="R244" s="18"/>
      <c r="S244" s="18"/>
      <c r="T244" s="35">
        <f>+[1]L.KIRDAR!R410+[1]L.KIRDAR!R411+[1]L.KIRDAR!R412+[1]L.KIRDAR!R413</f>
        <v>2513311.9861648465</v>
      </c>
      <c r="U244" s="18"/>
      <c r="V244" s="18"/>
      <c r="W244" s="35">
        <f>+[1]L.KIRDAR!U410+[1]L.KIRDAR!U411+[1]L.KIRDAR!U412+[1]L.KIRDAR!U413</f>
        <v>2133695.7896934641</v>
      </c>
      <c r="X244" s="18"/>
      <c r="Y244" s="18"/>
      <c r="Z244" s="35">
        <f>+[1]L.KIRDAR!X410+[1]L.KIRDAR!X411+[1]L.KIRDAR!X412+[1]L.KIRDAR!X413</f>
        <v>0</v>
      </c>
      <c r="AA244" s="18"/>
      <c r="AB244" s="18"/>
      <c r="AC244" s="35">
        <f>+[1]L.KIRDAR!AA410+[1]L.KIRDAR!AA411+[1]L.KIRDAR!AA412+[1]L.KIRDAR!AA413</f>
        <v>0</v>
      </c>
      <c r="AD244" s="18"/>
      <c r="AE244" s="18"/>
      <c r="AF244" s="35">
        <f>+[1]L.KIRDAR!AD410+[1]L.KIRDAR!AD411+[1]L.KIRDAR!AD412+[1]L.KIRDAR!AD413</f>
        <v>0</v>
      </c>
      <c r="AG244" s="18"/>
      <c r="AH244" s="18"/>
      <c r="AI244" s="35">
        <f>+[1]L.KIRDAR!AG410+[1]L.KIRDAR!AG411+[1]L.KIRDAR!AG412+[1]L.KIRDAR!AG413</f>
        <v>0</v>
      </c>
      <c r="AJ244" s="19"/>
      <c r="AK244" s="19"/>
      <c r="AL244" s="92">
        <f>+[1]L.KIRDAR!AJ410+[1]L.KIRDAR!AJ411+[1]L.KIRDAR!AJ412+[1]L.KIRDAR!AJ413</f>
        <v>0</v>
      </c>
    </row>
    <row r="245" spans="1:38" x14ac:dyDescent="0.25">
      <c r="A245" s="85" t="s">
        <v>62</v>
      </c>
      <c r="B245" s="32" t="s">
        <v>65</v>
      </c>
      <c r="C245" s="33" t="s">
        <v>35</v>
      </c>
      <c r="D245" s="34" t="s">
        <v>23</v>
      </c>
      <c r="E245" s="35">
        <f>+[1]L.KIRDAR!C414</f>
        <v>0</v>
      </c>
      <c r="F245" s="36"/>
      <c r="G245" s="36"/>
      <c r="H245" s="35">
        <f>+[1]L.KIRDAR!F414</f>
        <v>0</v>
      </c>
      <c r="I245" s="18"/>
      <c r="J245" s="18"/>
      <c r="K245" s="35">
        <f>+[1]L.KIRDAR!I414</f>
        <v>0</v>
      </c>
      <c r="L245" s="18"/>
      <c r="M245" s="18"/>
      <c r="N245" s="35">
        <f>+[1]L.KIRDAR!L414</f>
        <v>0</v>
      </c>
      <c r="O245" s="18"/>
      <c r="P245" s="18"/>
      <c r="Q245" s="35">
        <f>+[1]L.KIRDAR!O414</f>
        <v>0</v>
      </c>
      <c r="R245" s="18"/>
      <c r="S245" s="18"/>
      <c r="T245" s="35">
        <f>+[1]L.KIRDAR!R414</f>
        <v>0</v>
      </c>
      <c r="U245" s="18"/>
      <c r="V245" s="18"/>
      <c r="W245" s="35">
        <f>+[1]L.KIRDAR!U414</f>
        <v>0</v>
      </c>
      <c r="X245" s="18"/>
      <c r="Y245" s="18"/>
      <c r="Z245" s="35">
        <f>+[1]L.KIRDAR!X414</f>
        <v>0</v>
      </c>
      <c r="AA245" s="18"/>
      <c r="AB245" s="18"/>
      <c r="AC245" s="35">
        <f>+[1]L.KIRDAR!AA414</f>
        <v>0</v>
      </c>
      <c r="AD245" s="18"/>
      <c r="AE245" s="18"/>
      <c r="AF245" s="35">
        <f>+[1]L.KIRDAR!AD414</f>
        <v>0</v>
      </c>
      <c r="AG245" s="18"/>
      <c r="AH245" s="18"/>
      <c r="AI245" s="35">
        <f>+[1]L.KIRDAR!AG414</f>
        <v>0</v>
      </c>
      <c r="AJ245" s="19"/>
      <c r="AK245" s="19"/>
      <c r="AL245" s="92">
        <f>+[1]L.KIRDAR!AJ414</f>
        <v>0</v>
      </c>
    </row>
    <row r="246" spans="1:38" x14ac:dyDescent="0.25">
      <c r="A246" s="85" t="s">
        <v>62</v>
      </c>
      <c r="B246" s="32" t="s">
        <v>65</v>
      </c>
      <c r="C246" s="33" t="s">
        <v>36</v>
      </c>
      <c r="D246" s="34" t="s">
        <v>23</v>
      </c>
      <c r="E246" s="35">
        <f>+[1]L.KIRDAR!C415</f>
        <v>818467.13</v>
      </c>
      <c r="F246" s="36"/>
      <c r="G246" s="36"/>
      <c r="H246" s="35">
        <f>+[1]L.KIRDAR!F415</f>
        <v>285219.7</v>
      </c>
      <c r="I246" s="18"/>
      <c r="J246" s="18"/>
      <c r="K246" s="35">
        <f>+[1]L.KIRDAR!I415</f>
        <v>589426.53</v>
      </c>
      <c r="L246" s="18"/>
      <c r="M246" s="18"/>
      <c r="N246" s="35">
        <f>+[1]L.KIRDAR!L415</f>
        <v>1732120.4</v>
      </c>
      <c r="O246" s="18"/>
      <c r="P246" s="18"/>
      <c r="Q246" s="35">
        <f>+[1]L.KIRDAR!O415</f>
        <v>3130940.34</v>
      </c>
      <c r="R246" s="18"/>
      <c r="S246" s="18"/>
      <c r="T246" s="35">
        <f>+[1]L.KIRDAR!R415</f>
        <v>5090476.8099999996</v>
      </c>
      <c r="U246" s="18"/>
      <c r="V246" s="18"/>
      <c r="W246" s="35">
        <f>+[1]L.KIRDAR!U415</f>
        <v>330679.42</v>
      </c>
      <c r="X246" s="18"/>
      <c r="Y246" s="18"/>
      <c r="Z246" s="35">
        <f>+[1]L.KIRDAR!X415</f>
        <v>0</v>
      </c>
      <c r="AA246" s="18"/>
      <c r="AB246" s="18"/>
      <c r="AC246" s="35">
        <f>+[1]L.KIRDAR!AA415</f>
        <v>0</v>
      </c>
      <c r="AD246" s="18"/>
      <c r="AE246" s="18"/>
      <c r="AF246" s="35">
        <f>+[1]L.KIRDAR!AD415</f>
        <v>0</v>
      </c>
      <c r="AG246" s="18"/>
      <c r="AH246" s="18"/>
      <c r="AI246" s="35">
        <f>+[1]L.KIRDAR!AG415</f>
        <v>0</v>
      </c>
      <c r="AJ246" s="19"/>
      <c r="AK246" s="19"/>
      <c r="AL246" s="92">
        <f>+[1]L.KIRDAR!AJ415</f>
        <v>0</v>
      </c>
    </row>
    <row r="247" spans="1:38" x14ac:dyDescent="0.25">
      <c r="A247" s="85" t="s">
        <v>62</v>
      </c>
      <c r="B247" s="32" t="s">
        <v>65</v>
      </c>
      <c r="C247" s="33" t="s">
        <v>37</v>
      </c>
      <c r="D247" s="34" t="s">
        <v>23</v>
      </c>
      <c r="E247" s="37">
        <f>SUM(E244:E246)</f>
        <v>2525345.8800000004</v>
      </c>
      <c r="F247" s="38"/>
      <c r="G247" s="38"/>
      <c r="H247" s="37">
        <f>SUM(H244:H246)</f>
        <v>2194201.8500000006</v>
      </c>
      <c r="I247" s="39"/>
      <c r="J247" s="39"/>
      <c r="K247" s="37">
        <f>SUM(K244:K246)</f>
        <v>2340703.109819599</v>
      </c>
      <c r="L247" s="39"/>
      <c r="M247" s="39"/>
      <c r="N247" s="37">
        <f>SUM(N244:N246)</f>
        <v>3357671.7267633984</v>
      </c>
      <c r="O247" s="39"/>
      <c r="P247" s="39"/>
      <c r="Q247" s="37">
        <f>SUM(Q244:Q246)</f>
        <v>5640864.6130843218</v>
      </c>
      <c r="R247" s="39"/>
      <c r="S247" s="39"/>
      <c r="T247" s="37">
        <f>SUM(T244:T246)</f>
        <v>7603788.796164846</v>
      </c>
      <c r="U247" s="39"/>
      <c r="V247" s="39"/>
      <c r="W247" s="37">
        <f>SUM(W244:W246)</f>
        <v>2464375.209693464</v>
      </c>
      <c r="X247" s="39"/>
      <c r="Y247" s="39"/>
      <c r="Z247" s="37">
        <f>SUM(Z244:Z246)</f>
        <v>0</v>
      </c>
      <c r="AA247" s="39"/>
      <c r="AB247" s="39"/>
      <c r="AC247" s="37">
        <f>SUM(AC244:AC246)</f>
        <v>0</v>
      </c>
      <c r="AD247" s="39"/>
      <c r="AE247" s="39"/>
      <c r="AF247" s="37">
        <f>SUM(AF244:AF246)</f>
        <v>0</v>
      </c>
      <c r="AG247" s="39"/>
      <c r="AH247" s="39"/>
      <c r="AI247" s="37">
        <f>SUM(AI244:AI246)</f>
        <v>0</v>
      </c>
      <c r="AJ247" s="40"/>
      <c r="AK247" s="40"/>
      <c r="AL247" s="93">
        <f>SUM(AL244:AL246)</f>
        <v>0</v>
      </c>
    </row>
    <row r="248" spans="1:38" x14ac:dyDescent="0.25">
      <c r="A248" s="73" t="s">
        <v>62</v>
      </c>
      <c r="B248" s="6" t="s">
        <v>65</v>
      </c>
      <c r="C248" s="7" t="s">
        <v>38</v>
      </c>
      <c r="D248" s="8" t="s">
        <v>23</v>
      </c>
      <c r="E248" s="28">
        <f>IFERROR(E247/E243,0)</f>
        <v>108383.94334763949</v>
      </c>
      <c r="F248" s="29"/>
      <c r="G248" s="29"/>
      <c r="H248" s="28">
        <f>IFERROR(H247/H243,0)</f>
        <v>121900.10277777781</v>
      </c>
      <c r="I248" s="30"/>
      <c r="J248" s="30"/>
      <c r="K248" s="28">
        <f>IFERROR(K247/K243,0)</f>
        <v>117800.86108805228</v>
      </c>
      <c r="L248" s="30"/>
      <c r="M248" s="30"/>
      <c r="N248" s="28">
        <f>IFERROR(N247/N243,0)</f>
        <v>137835.45676368632</v>
      </c>
      <c r="O248" s="30"/>
      <c r="P248" s="30"/>
      <c r="Q248" s="28">
        <f>IFERROR(Q247/Q243,0)</f>
        <v>216956.33127247391</v>
      </c>
      <c r="R248" s="30"/>
      <c r="S248" s="30"/>
      <c r="T248" s="28">
        <f>IFERROR(T247/T243,0)</f>
        <v>125124.05456911051</v>
      </c>
      <c r="U248" s="30"/>
      <c r="V248" s="30"/>
      <c r="W248" s="28">
        <f>IFERROR(W247/W243,0)</f>
        <v>105180.33332025028</v>
      </c>
      <c r="X248" s="30"/>
      <c r="Y248" s="30"/>
      <c r="Z248" s="28">
        <f>IFERROR(Z247/Z243,0)</f>
        <v>0</v>
      </c>
      <c r="AA248" s="30"/>
      <c r="AB248" s="30"/>
      <c r="AC248" s="28">
        <f>IFERROR(AC247/AC243,0)</f>
        <v>0</v>
      </c>
      <c r="AD248" s="30"/>
      <c r="AE248" s="30"/>
      <c r="AF248" s="28">
        <f>IFERROR(AF247/AF243,0)</f>
        <v>0</v>
      </c>
      <c r="AG248" s="30"/>
      <c r="AH248" s="30"/>
      <c r="AI248" s="28">
        <f>IFERROR(AI247/AI243,0)</f>
        <v>0</v>
      </c>
      <c r="AJ248" s="31"/>
      <c r="AK248" s="31"/>
      <c r="AL248" s="94">
        <f>IFERROR(AL247/AL243,0)</f>
        <v>0</v>
      </c>
    </row>
    <row r="249" spans="1:38" x14ac:dyDescent="0.25">
      <c r="A249" s="73" t="s">
        <v>62</v>
      </c>
      <c r="B249" s="6" t="s">
        <v>65</v>
      </c>
      <c r="C249" s="7" t="s">
        <v>39</v>
      </c>
      <c r="D249" s="8" t="s">
        <v>23</v>
      </c>
      <c r="E249" s="41">
        <f>+[1]L.KIRDAR!C439</f>
        <v>187489.23</v>
      </c>
      <c r="F249" s="42"/>
      <c r="G249" s="42"/>
      <c r="H249" s="43">
        <f>+[1]L.KIRDAR!F439</f>
        <v>55702.95</v>
      </c>
      <c r="I249" s="43"/>
      <c r="J249" s="43"/>
      <c r="K249" s="43">
        <f>+[1]L.KIRDAR!I439</f>
        <v>92479.24</v>
      </c>
      <c r="L249" s="43"/>
      <c r="M249" s="43"/>
      <c r="N249" s="43">
        <f>+[1]L.KIRDAR!L439</f>
        <v>111539.13</v>
      </c>
      <c r="O249" s="43"/>
      <c r="P249" s="43"/>
      <c r="Q249" s="43">
        <f>+[1]L.KIRDAR!O439</f>
        <v>162554.29999999999</v>
      </c>
      <c r="R249" s="43"/>
      <c r="S249" s="43"/>
      <c r="T249" s="43">
        <f>+[1]L.KIRDAR!R439</f>
        <v>169956.77</v>
      </c>
      <c r="U249" s="43"/>
      <c r="V249" s="43"/>
      <c r="W249" s="43">
        <f>+[1]L.KIRDAR!U439</f>
        <v>128693.25</v>
      </c>
      <c r="X249" s="43"/>
      <c r="Y249" s="43"/>
      <c r="Z249" s="43">
        <f>+[1]L.KIRDAR!X439</f>
        <v>0</v>
      </c>
      <c r="AA249" s="43"/>
      <c r="AB249" s="43"/>
      <c r="AC249" s="43">
        <f>+[1]L.KIRDAR!AA439</f>
        <v>0</v>
      </c>
      <c r="AD249" s="43"/>
      <c r="AE249" s="43"/>
      <c r="AF249" s="43">
        <f>+[1]L.KIRDAR!AD439</f>
        <v>0</v>
      </c>
      <c r="AG249" s="43"/>
      <c r="AH249" s="43"/>
      <c r="AI249" s="43">
        <f>+[1]L.KIRDAR!AG439</f>
        <v>0</v>
      </c>
      <c r="AJ249" s="44"/>
      <c r="AK249" s="44"/>
      <c r="AL249" s="95">
        <f>+[1]L.KIRDAR!AJ439</f>
        <v>0</v>
      </c>
    </row>
    <row r="250" spans="1:38" x14ac:dyDescent="0.25">
      <c r="A250" s="73" t="s">
        <v>62</v>
      </c>
      <c r="B250" s="6" t="s">
        <v>65</v>
      </c>
      <c r="C250" s="7" t="s">
        <v>40</v>
      </c>
      <c r="D250" s="34" t="s">
        <v>23</v>
      </c>
      <c r="E250" s="45">
        <f>+[1]L.KIRDAR!C440</f>
        <v>47308.35</v>
      </c>
      <c r="F250" s="46"/>
      <c r="G250" s="46"/>
      <c r="H250" s="47">
        <f>+[1]L.KIRDAR!F440</f>
        <v>13847.12</v>
      </c>
      <c r="I250" s="47"/>
      <c r="J250" s="47"/>
      <c r="K250" s="47">
        <f>+[1]L.KIRDAR!I440</f>
        <v>23919.14</v>
      </c>
      <c r="L250" s="47"/>
      <c r="M250" s="47"/>
      <c r="N250" s="47">
        <f>+[1]L.KIRDAR!L440</f>
        <v>23973.5</v>
      </c>
      <c r="O250" s="47"/>
      <c r="P250" s="47"/>
      <c r="Q250" s="47">
        <f>+[1]L.KIRDAR!O440</f>
        <v>14430.7</v>
      </c>
      <c r="R250" s="47"/>
      <c r="S250" s="47"/>
      <c r="T250" s="47">
        <f>+[1]L.KIRDAR!R440</f>
        <v>13215.27</v>
      </c>
      <c r="U250" s="47"/>
      <c r="V250" s="47"/>
      <c r="W250" s="47">
        <f>+[1]L.KIRDAR!U440</f>
        <v>4157.4399999999996</v>
      </c>
      <c r="X250" s="47"/>
      <c r="Y250" s="47"/>
      <c r="Z250" s="47">
        <f>+[1]L.KIRDAR!X440</f>
        <v>0</v>
      </c>
      <c r="AA250" s="47"/>
      <c r="AB250" s="47"/>
      <c r="AC250" s="47">
        <f>+[1]L.KIRDAR!AA440</f>
        <v>0</v>
      </c>
      <c r="AD250" s="47"/>
      <c r="AE250" s="47"/>
      <c r="AF250" s="47">
        <f>+[1]L.KIRDAR!AD440</f>
        <v>0</v>
      </c>
      <c r="AG250" s="47"/>
      <c r="AH250" s="47"/>
      <c r="AI250" s="47">
        <f>+[1]L.KIRDAR!AG440</f>
        <v>0</v>
      </c>
      <c r="AJ250" s="48"/>
      <c r="AK250" s="48"/>
      <c r="AL250" s="96">
        <f>+[1]L.KIRDAR!AJ440</f>
        <v>0</v>
      </c>
    </row>
    <row r="251" spans="1:38" x14ac:dyDescent="0.25">
      <c r="A251" s="73" t="s">
        <v>62</v>
      </c>
      <c r="B251" s="6" t="s">
        <v>65</v>
      </c>
      <c r="C251" s="7" t="s">
        <v>41</v>
      </c>
      <c r="D251" s="34" t="s">
        <v>23</v>
      </c>
      <c r="E251" s="45">
        <f>+[1]L.KIRDAR!C441</f>
        <v>34237.47</v>
      </c>
      <c r="F251" s="46"/>
      <c r="G251" s="46"/>
      <c r="H251" s="47">
        <f>+[1]L.KIRDAR!F441</f>
        <v>11677.37</v>
      </c>
      <c r="I251" s="47"/>
      <c r="J251" s="47"/>
      <c r="K251" s="47">
        <f>+[1]L.KIRDAR!I441</f>
        <v>24822.61</v>
      </c>
      <c r="L251" s="47"/>
      <c r="M251" s="47"/>
      <c r="N251" s="47">
        <f>+[1]L.KIRDAR!L441</f>
        <v>32389.51</v>
      </c>
      <c r="O251" s="47"/>
      <c r="P251" s="47"/>
      <c r="Q251" s="47">
        <f>+[1]L.KIRDAR!O441</f>
        <v>53560.04</v>
      </c>
      <c r="R251" s="47"/>
      <c r="S251" s="47"/>
      <c r="T251" s="47">
        <f>+[1]L.KIRDAR!R441</f>
        <v>85510.51</v>
      </c>
      <c r="U251" s="47"/>
      <c r="V251" s="47"/>
      <c r="W251" s="47">
        <f>+[1]L.KIRDAR!U441</f>
        <v>25694.73</v>
      </c>
      <c r="X251" s="47"/>
      <c r="Y251" s="47"/>
      <c r="Z251" s="47">
        <f>+[1]L.KIRDAR!X441</f>
        <v>0</v>
      </c>
      <c r="AA251" s="47"/>
      <c r="AB251" s="47"/>
      <c r="AC251" s="47">
        <f>+[1]L.KIRDAR!AA441</f>
        <v>0</v>
      </c>
      <c r="AD251" s="47"/>
      <c r="AE251" s="47"/>
      <c r="AF251" s="47">
        <f>+[1]L.KIRDAR!AD441</f>
        <v>0</v>
      </c>
      <c r="AG251" s="47"/>
      <c r="AH251" s="47"/>
      <c r="AI251" s="47">
        <f>+[1]L.KIRDAR!AG441</f>
        <v>0</v>
      </c>
      <c r="AJ251" s="48"/>
      <c r="AK251" s="48"/>
      <c r="AL251" s="96">
        <f>+[1]L.KIRDAR!AJ441</f>
        <v>0</v>
      </c>
    </row>
    <row r="252" spans="1:38" x14ac:dyDescent="0.25">
      <c r="A252" s="73" t="s">
        <v>62</v>
      </c>
      <c r="B252" s="6" t="s">
        <v>65</v>
      </c>
      <c r="C252" s="7" t="s">
        <v>42</v>
      </c>
      <c r="D252" s="34" t="s">
        <v>43</v>
      </c>
      <c r="E252" s="97">
        <v>0</v>
      </c>
      <c r="F252" s="98"/>
      <c r="G252" s="98"/>
      <c r="H252" s="99">
        <v>0</v>
      </c>
      <c r="I252" s="99"/>
      <c r="J252" s="99"/>
      <c r="K252" s="99">
        <v>0</v>
      </c>
      <c r="L252" s="99"/>
      <c r="M252" s="99"/>
      <c r="N252" s="99">
        <v>0</v>
      </c>
      <c r="O252" s="99"/>
      <c r="P252" s="99"/>
      <c r="Q252" s="99">
        <v>0</v>
      </c>
      <c r="R252" s="99"/>
      <c r="S252" s="99"/>
      <c r="T252" s="99">
        <v>0</v>
      </c>
      <c r="U252" s="99"/>
      <c r="V252" s="99"/>
      <c r="W252" s="99">
        <v>0</v>
      </c>
      <c r="X252" s="99"/>
      <c r="Y252" s="99"/>
      <c r="Z252" s="99">
        <v>0</v>
      </c>
      <c r="AA252" s="99"/>
      <c r="AB252" s="99"/>
      <c r="AC252" s="99">
        <v>0</v>
      </c>
      <c r="AD252" s="99"/>
      <c r="AE252" s="99"/>
      <c r="AF252" s="99">
        <v>0</v>
      </c>
      <c r="AG252" s="99"/>
      <c r="AH252" s="99"/>
      <c r="AI252" s="99">
        <v>0</v>
      </c>
      <c r="AJ252" s="100"/>
      <c r="AK252" s="100"/>
      <c r="AL252" s="101">
        <v>0</v>
      </c>
    </row>
    <row r="253" spans="1:38" x14ac:dyDescent="0.25">
      <c r="A253" s="73" t="s">
        <v>62</v>
      </c>
      <c r="B253" s="6" t="s">
        <v>65</v>
      </c>
      <c r="C253" s="7" t="s">
        <v>44</v>
      </c>
      <c r="D253" s="34" t="s">
        <v>45</v>
      </c>
      <c r="E253" s="102">
        <v>0</v>
      </c>
      <c r="F253" s="103"/>
      <c r="G253" s="103"/>
      <c r="H253" s="104">
        <v>0</v>
      </c>
      <c r="I253" s="104"/>
      <c r="J253" s="104"/>
      <c r="K253" s="104">
        <v>0</v>
      </c>
      <c r="L253" s="104"/>
      <c r="M253" s="104"/>
      <c r="N253" s="104">
        <v>0</v>
      </c>
      <c r="O253" s="104"/>
      <c r="P253" s="104"/>
      <c r="Q253" s="104">
        <v>0</v>
      </c>
      <c r="R253" s="104"/>
      <c r="S253" s="104"/>
      <c r="T253" s="104">
        <v>0</v>
      </c>
      <c r="U253" s="104"/>
      <c r="V253" s="104"/>
      <c r="W253" s="104">
        <v>0</v>
      </c>
      <c r="X253" s="104"/>
      <c r="Y253" s="104"/>
      <c r="Z253" s="104">
        <v>0</v>
      </c>
      <c r="AA253" s="104"/>
      <c r="AB253" s="104"/>
      <c r="AC253" s="104">
        <v>0</v>
      </c>
      <c r="AD253" s="104"/>
      <c r="AE253" s="104"/>
      <c r="AF253" s="104">
        <v>0</v>
      </c>
      <c r="AG253" s="104"/>
      <c r="AH253" s="104"/>
      <c r="AI253" s="104">
        <v>0</v>
      </c>
      <c r="AJ253" s="105"/>
      <c r="AK253" s="105"/>
      <c r="AL253" s="106">
        <v>0</v>
      </c>
    </row>
    <row r="254" spans="1:38" x14ac:dyDescent="0.25">
      <c r="A254" s="73" t="s">
        <v>62</v>
      </c>
      <c r="B254" s="6" t="s">
        <v>65</v>
      </c>
      <c r="C254" s="7" t="s">
        <v>46</v>
      </c>
      <c r="D254" s="34" t="s">
        <v>45</v>
      </c>
      <c r="E254" s="107">
        <v>0</v>
      </c>
      <c r="F254" s="108"/>
      <c r="G254" s="108"/>
      <c r="H254" s="109">
        <v>0</v>
      </c>
      <c r="I254" s="109"/>
      <c r="J254" s="109"/>
      <c r="K254" s="109">
        <v>0</v>
      </c>
      <c r="L254" s="109"/>
      <c r="M254" s="109"/>
      <c r="N254" s="109">
        <v>0</v>
      </c>
      <c r="O254" s="109"/>
      <c r="P254" s="109"/>
      <c r="Q254" s="109">
        <v>0</v>
      </c>
      <c r="R254" s="109"/>
      <c r="S254" s="109"/>
      <c r="T254" s="109">
        <v>0</v>
      </c>
      <c r="U254" s="109"/>
      <c r="V254" s="109"/>
      <c r="W254" s="109">
        <v>0</v>
      </c>
      <c r="X254" s="109"/>
      <c r="Y254" s="109"/>
      <c r="Z254" s="109">
        <v>0</v>
      </c>
      <c r="AA254" s="109"/>
      <c r="AB254" s="109"/>
      <c r="AC254" s="109">
        <v>0</v>
      </c>
      <c r="AD254" s="109"/>
      <c r="AE254" s="109"/>
      <c r="AF254" s="109">
        <v>0</v>
      </c>
      <c r="AG254" s="109"/>
      <c r="AH254" s="109"/>
      <c r="AI254" s="109">
        <v>0</v>
      </c>
      <c r="AJ254" s="110"/>
      <c r="AK254" s="110"/>
      <c r="AL254" s="111">
        <v>0</v>
      </c>
    </row>
    <row r="255" spans="1:38" x14ac:dyDescent="0.25">
      <c r="A255" s="73" t="s">
        <v>62</v>
      </c>
      <c r="B255" s="6" t="s">
        <v>65</v>
      </c>
      <c r="C255" s="7" t="s">
        <v>47</v>
      </c>
      <c r="D255" s="8" t="s">
        <v>23</v>
      </c>
      <c r="E255" s="49">
        <f>IFERROR(+E249/E252,0)</f>
        <v>0</v>
      </c>
      <c r="F255" s="50"/>
      <c r="G255" s="50"/>
      <c r="H255" s="51">
        <f>IFERROR(+H249/H252,0)</f>
        <v>0</v>
      </c>
      <c r="I255" s="52"/>
      <c r="J255" s="52"/>
      <c r="K255" s="51">
        <f>IFERROR(+K249/K252,0)</f>
        <v>0</v>
      </c>
      <c r="L255" s="52"/>
      <c r="M255" s="52"/>
      <c r="N255" s="51">
        <f>IFERROR(+N249/N252,0)</f>
        <v>0</v>
      </c>
      <c r="O255" s="52"/>
      <c r="P255" s="52"/>
      <c r="Q255" s="51">
        <f>IFERROR(+Q249/Q252,0)</f>
        <v>0</v>
      </c>
      <c r="R255" s="52"/>
      <c r="S255" s="52"/>
      <c r="T255" s="51">
        <f>IFERROR(+T249/T252,0)</f>
        <v>0</v>
      </c>
      <c r="U255" s="52"/>
      <c r="V255" s="52"/>
      <c r="W255" s="51">
        <f>IFERROR(+W249/W252,0)</f>
        <v>0</v>
      </c>
      <c r="X255" s="52"/>
      <c r="Y255" s="52"/>
      <c r="Z255" s="51">
        <f>IFERROR(+Z249/Z252,0)</f>
        <v>0</v>
      </c>
      <c r="AA255" s="52"/>
      <c r="AB255" s="52"/>
      <c r="AC255" s="51">
        <f>IFERROR(+AC249/AC252,0)</f>
        <v>0</v>
      </c>
      <c r="AD255" s="52"/>
      <c r="AE255" s="52"/>
      <c r="AF255" s="51">
        <f>IFERROR(+AF249/AF252,0)</f>
        <v>0</v>
      </c>
      <c r="AG255" s="52"/>
      <c r="AH255" s="52"/>
      <c r="AI255" s="51">
        <f>IFERROR(+AI249/AI252,0)</f>
        <v>0</v>
      </c>
      <c r="AJ255" s="53"/>
      <c r="AK255" s="53"/>
      <c r="AL255" s="112">
        <f>IFERROR(+AL249/AL252,0)</f>
        <v>0</v>
      </c>
    </row>
    <row r="256" spans="1:38" x14ac:dyDescent="0.25">
      <c r="A256" s="73" t="s">
        <v>62</v>
      </c>
      <c r="B256" s="6" t="s">
        <v>65</v>
      </c>
      <c r="C256" s="7" t="s">
        <v>48</v>
      </c>
      <c r="D256" s="34" t="s">
        <v>23</v>
      </c>
      <c r="E256" s="49">
        <f>IFERROR(+E250/E253,0)</f>
        <v>0</v>
      </c>
      <c r="F256" s="50"/>
      <c r="G256" s="50"/>
      <c r="H256" s="51">
        <f>IFERROR(+H250/H253,0)</f>
        <v>0</v>
      </c>
      <c r="I256" s="52"/>
      <c r="J256" s="52"/>
      <c r="K256" s="51">
        <f>IFERROR(+K250/K253,0)</f>
        <v>0</v>
      </c>
      <c r="L256" s="52"/>
      <c r="M256" s="52"/>
      <c r="N256" s="51">
        <f>IFERROR(+N250/N253,0)</f>
        <v>0</v>
      </c>
      <c r="O256" s="52"/>
      <c r="P256" s="52"/>
      <c r="Q256" s="51">
        <f>IFERROR(+Q250/Q253,0)</f>
        <v>0</v>
      </c>
      <c r="R256" s="52"/>
      <c r="S256" s="52"/>
      <c r="T256" s="51">
        <f>IFERROR(+T250/T253,0)</f>
        <v>0</v>
      </c>
      <c r="U256" s="52"/>
      <c r="V256" s="52"/>
      <c r="W256" s="51">
        <f>IFERROR(+W250/W253,0)</f>
        <v>0</v>
      </c>
      <c r="X256" s="52"/>
      <c r="Y256" s="52"/>
      <c r="Z256" s="51">
        <f>IFERROR(+Z250/Z253,0)</f>
        <v>0</v>
      </c>
      <c r="AA256" s="52"/>
      <c r="AB256" s="52"/>
      <c r="AC256" s="51">
        <f>IFERROR(+AC250/AC253,0)</f>
        <v>0</v>
      </c>
      <c r="AD256" s="52"/>
      <c r="AE256" s="52"/>
      <c r="AF256" s="51">
        <f>IFERROR(+AF250/AF253,0)</f>
        <v>0</v>
      </c>
      <c r="AG256" s="52"/>
      <c r="AH256" s="52"/>
      <c r="AI256" s="51">
        <f>IFERROR(+AI250/AI253,0)</f>
        <v>0</v>
      </c>
      <c r="AJ256" s="53"/>
      <c r="AK256" s="53"/>
      <c r="AL256" s="112">
        <f>IFERROR(+AL250/AL253,0)</f>
        <v>0</v>
      </c>
    </row>
    <row r="257" spans="1:38" x14ac:dyDescent="0.25">
      <c r="A257" s="73" t="s">
        <v>62</v>
      </c>
      <c r="B257" s="6" t="s">
        <v>65</v>
      </c>
      <c r="C257" s="7" t="s">
        <v>49</v>
      </c>
      <c r="D257" s="34" t="s">
        <v>23</v>
      </c>
      <c r="E257" s="54">
        <f>IFERROR(+E251/E254,0)</f>
        <v>0</v>
      </c>
      <c r="F257" s="55"/>
      <c r="G257" s="55"/>
      <c r="H257" s="56">
        <f>IFERROR(+H251/H254,0)</f>
        <v>0</v>
      </c>
      <c r="I257" s="57"/>
      <c r="J257" s="57"/>
      <c r="K257" s="56">
        <f>IFERROR(+K251/K254,0)</f>
        <v>0</v>
      </c>
      <c r="L257" s="57"/>
      <c r="M257" s="57"/>
      <c r="N257" s="56">
        <f>IFERROR(+N251/N254,0)</f>
        <v>0</v>
      </c>
      <c r="O257" s="57"/>
      <c r="P257" s="57"/>
      <c r="Q257" s="56">
        <f>IFERROR(+Q251/Q254,0)</f>
        <v>0</v>
      </c>
      <c r="R257" s="57"/>
      <c r="S257" s="57"/>
      <c r="T257" s="56">
        <f>IFERROR(+T251/T254,0)</f>
        <v>0</v>
      </c>
      <c r="U257" s="57"/>
      <c r="V257" s="57"/>
      <c r="W257" s="56">
        <f>IFERROR(+W251/W254,0)</f>
        <v>0</v>
      </c>
      <c r="X257" s="57"/>
      <c r="Y257" s="57"/>
      <c r="Z257" s="56">
        <f>IFERROR(+Z251/Z254,0)</f>
        <v>0</v>
      </c>
      <c r="AA257" s="57"/>
      <c r="AB257" s="57"/>
      <c r="AC257" s="56">
        <f>IFERROR(+AC251/AC254,0)</f>
        <v>0</v>
      </c>
      <c r="AD257" s="57"/>
      <c r="AE257" s="57"/>
      <c r="AF257" s="56">
        <f>IFERROR(+AF251/AF254,0)</f>
        <v>0</v>
      </c>
      <c r="AG257" s="57"/>
      <c r="AH257" s="57"/>
      <c r="AI257" s="56">
        <f>IFERROR(+AI251/AI254,0)</f>
        <v>0</v>
      </c>
      <c r="AJ257" s="58"/>
      <c r="AK257" s="58"/>
      <c r="AL257" s="113">
        <f>IFERROR(+AL251/AL254,0)</f>
        <v>0</v>
      </c>
    </row>
    <row r="258" spans="1:38" x14ac:dyDescent="0.25">
      <c r="A258" s="73" t="s">
        <v>62</v>
      </c>
      <c r="B258" s="6" t="s">
        <v>65</v>
      </c>
      <c r="C258" s="7" t="s">
        <v>50</v>
      </c>
      <c r="D258" s="8" t="s">
        <v>23</v>
      </c>
      <c r="E258" s="59">
        <f>+[1]L.KIRDAR!C466</f>
        <v>701877.34</v>
      </c>
      <c r="F258" s="60"/>
      <c r="G258" s="60"/>
      <c r="H258" s="61">
        <f>+[1]L.KIRDAR!F466</f>
        <v>570915.25</v>
      </c>
      <c r="I258" s="61"/>
      <c r="J258" s="61"/>
      <c r="K258" s="61">
        <f>+[1]L.KIRDAR!I466</f>
        <v>385606.43000000005</v>
      </c>
      <c r="L258" s="61"/>
      <c r="M258" s="61"/>
      <c r="N258" s="61">
        <f>+[1]L.KIRDAR!L466</f>
        <v>932729.77</v>
      </c>
      <c r="O258" s="61"/>
      <c r="P258" s="61"/>
      <c r="Q258" s="61">
        <f>+[1]L.KIRDAR!O466</f>
        <v>3274813.27</v>
      </c>
      <c r="R258" s="61"/>
      <c r="S258" s="61"/>
      <c r="T258" s="61">
        <f>+[1]L.KIRDAR!R466</f>
        <v>6900723.8899999997</v>
      </c>
      <c r="U258" s="61"/>
      <c r="V258" s="61"/>
      <c r="W258" s="61">
        <f>+[1]L.KIRDAR!U466</f>
        <v>541660.98</v>
      </c>
      <c r="X258" s="61"/>
      <c r="Y258" s="61"/>
      <c r="Z258" s="61">
        <f>+[1]L.KIRDAR!X466</f>
        <v>0</v>
      </c>
      <c r="AA258" s="61"/>
      <c r="AB258" s="61"/>
      <c r="AC258" s="61">
        <f>+[1]L.KIRDAR!AA466</f>
        <v>0</v>
      </c>
      <c r="AD258" s="61"/>
      <c r="AE258" s="61"/>
      <c r="AF258" s="61">
        <f>+[1]L.KIRDAR!AD466</f>
        <v>0</v>
      </c>
      <c r="AG258" s="61"/>
      <c r="AH258" s="61"/>
      <c r="AI258" s="61">
        <f>+[1]L.KIRDAR!AG466</f>
        <v>0</v>
      </c>
      <c r="AJ258" s="62"/>
      <c r="AK258" s="62"/>
      <c r="AL258" s="114">
        <f>+[1]L.KIRDAR!AJ466</f>
        <v>0</v>
      </c>
    </row>
    <row r="259" spans="1:38" x14ac:dyDescent="0.25">
      <c r="A259" s="73" t="s">
        <v>62</v>
      </c>
      <c r="B259" s="6" t="s">
        <v>65</v>
      </c>
      <c r="C259" s="7" t="s">
        <v>51</v>
      </c>
      <c r="D259" s="8" t="s">
        <v>20</v>
      </c>
      <c r="E259" s="9"/>
      <c r="F259" s="10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2"/>
      <c r="AK259" s="12"/>
      <c r="AL259" s="74"/>
    </row>
    <row r="260" spans="1:38" x14ac:dyDescent="0.25">
      <c r="A260" s="85" t="s">
        <v>62</v>
      </c>
      <c r="B260" s="32" t="s">
        <v>65</v>
      </c>
      <c r="C260" s="33" t="s">
        <v>52</v>
      </c>
      <c r="D260" s="34" t="s">
        <v>23</v>
      </c>
      <c r="E260" s="24">
        <f>+[1]L.KIRDAR!C474</f>
        <v>761579.47073142172</v>
      </c>
      <c r="F260" s="25"/>
      <c r="G260" s="25"/>
      <c r="H260" s="26">
        <f>+[1]L.KIRDAR!F474</f>
        <v>708682.17032564501</v>
      </c>
      <c r="I260" s="26"/>
      <c r="J260" s="26"/>
      <c r="K260" s="26">
        <f>+[1]L.KIRDAR!I474</f>
        <v>591956.5787653469</v>
      </c>
      <c r="L260" s="26"/>
      <c r="M260" s="26"/>
      <c r="N260" s="26">
        <f>+[1]L.KIRDAR!L474</f>
        <v>1018509.9225422293</v>
      </c>
      <c r="O260" s="26"/>
      <c r="P260" s="26"/>
      <c r="Q260" s="26">
        <f>+[1]L.KIRDAR!O474</f>
        <v>2122484.1670832988</v>
      </c>
      <c r="R260" s="26"/>
      <c r="S260" s="26"/>
      <c r="T260" s="26">
        <f>+[1]L.KIRDAR!R474</f>
        <v>2763248.197288644</v>
      </c>
      <c r="U260" s="26"/>
      <c r="V260" s="26"/>
      <c r="W260" s="26">
        <f>+[1]L.KIRDAR!U474</f>
        <v>459434.54482075473</v>
      </c>
      <c r="X260" s="26"/>
      <c r="Y260" s="26"/>
      <c r="Z260" s="26">
        <f>+[1]L.KIRDAR!X474</f>
        <v>0</v>
      </c>
      <c r="AA260" s="26"/>
      <c r="AB260" s="26"/>
      <c r="AC260" s="26">
        <f>+[1]L.KIRDAR!AA474</f>
        <v>0</v>
      </c>
      <c r="AD260" s="26"/>
      <c r="AE260" s="26"/>
      <c r="AF260" s="26">
        <f>+[1]L.KIRDAR!AD474</f>
        <v>0</v>
      </c>
      <c r="AG260" s="26"/>
      <c r="AH260" s="26"/>
      <c r="AI260" s="26">
        <f>+[1]L.KIRDAR!AG474</f>
        <v>0</v>
      </c>
      <c r="AJ260" s="27"/>
      <c r="AK260" s="27"/>
      <c r="AL260" s="78">
        <f>+[1]L.KIRDAR!AJ474</f>
        <v>0</v>
      </c>
    </row>
    <row r="261" spans="1:38" x14ac:dyDescent="0.25">
      <c r="A261" s="85" t="s">
        <v>62</v>
      </c>
      <c r="B261" s="32" t="s">
        <v>65</v>
      </c>
      <c r="C261" s="33" t="s">
        <v>53</v>
      </c>
      <c r="D261" s="34" t="s">
        <v>23</v>
      </c>
      <c r="E261" s="28">
        <f>+[1]L.KIRDAR!C483-[1]L.KIRDAR!C416-[1]L.KIRDAR!C421-[1]L.KIRDAR!C438-[1]L.KIRDAR!C466-[1]L.KIRDAR!C474</f>
        <v>101379.7100000002</v>
      </c>
      <c r="F261" s="29"/>
      <c r="G261" s="29"/>
      <c r="H261" s="30">
        <f>+[1]L.KIRDAR!F483-[1]L.KIRDAR!F416-[1]L.KIRDAR!F421-[1]L.KIRDAR!F438-[1]L.KIRDAR!F466-[1]L.KIRDAR!F474</f>
        <v>94534.630000000121</v>
      </c>
      <c r="I261" s="30"/>
      <c r="J261" s="30"/>
      <c r="K261" s="30">
        <f>+[1]L.KIRDAR!I483-[1]L.KIRDAR!I416-[1]L.KIRDAR!I421-[1]L.KIRDAR!I438-[1]L.KIRDAR!I466-[1]L.KIRDAR!I474</f>
        <v>348140.18000000005</v>
      </c>
      <c r="L261" s="30"/>
      <c r="M261" s="30"/>
      <c r="N261" s="30">
        <f>+[1]L.KIRDAR!L483-[1]L.KIRDAR!L416-[1]L.KIRDAR!L421-[1]L.KIRDAR!L438-[1]L.KIRDAR!L466-[1]L.KIRDAR!L474</f>
        <v>599407.06000000006</v>
      </c>
      <c r="O261" s="30"/>
      <c r="P261" s="30"/>
      <c r="Q261" s="30">
        <f>+[1]L.KIRDAR!O483-[1]L.KIRDAR!O416-[1]L.KIRDAR!O421-[1]L.KIRDAR!O438-[1]L.KIRDAR!O466-[1]L.KIRDAR!O474</f>
        <v>393267.25999999931</v>
      </c>
      <c r="R261" s="30"/>
      <c r="S261" s="30"/>
      <c r="T261" s="30">
        <f>+[1]L.KIRDAR!R483-[1]L.KIRDAR!R416-[1]L.KIRDAR!R421-[1]L.KIRDAR!R438-[1]L.KIRDAR!R466-[1]L.KIRDAR!R474</f>
        <v>1839539.9999999986</v>
      </c>
      <c r="U261" s="30"/>
      <c r="V261" s="30"/>
      <c r="W261" s="30">
        <f>+[1]L.KIRDAR!U483-[1]L.KIRDAR!U416-[1]L.KIRDAR!U421-[1]L.KIRDAR!U438-[1]L.KIRDAR!U466-[1]L.KIRDAR!U474</f>
        <v>140896.33000000037</v>
      </c>
      <c r="X261" s="30"/>
      <c r="Y261" s="30"/>
      <c r="Z261" s="30">
        <f>+[1]L.KIRDAR!X483-[1]L.KIRDAR!X416-[1]L.KIRDAR!X421-[1]L.KIRDAR!X438-[1]L.KIRDAR!X466-[1]L.KIRDAR!X474</f>
        <v>0</v>
      </c>
      <c r="AA261" s="30"/>
      <c r="AB261" s="30"/>
      <c r="AC261" s="30">
        <f>+[1]L.KIRDAR!AA483-[1]L.KIRDAR!AA416-[1]L.KIRDAR!AA421-[1]L.KIRDAR!AA438-[1]L.KIRDAR!AA466-[1]L.KIRDAR!AA474</f>
        <v>0</v>
      </c>
      <c r="AD261" s="30"/>
      <c r="AE261" s="30"/>
      <c r="AF261" s="30">
        <f>+[1]L.KIRDAR!AD483-[1]L.KIRDAR!AD416-[1]L.KIRDAR!AD421-[1]L.KIRDAR!AD438-[1]L.KIRDAR!AD466-[1]L.KIRDAR!AD474</f>
        <v>0</v>
      </c>
      <c r="AG261" s="30"/>
      <c r="AH261" s="30"/>
      <c r="AI261" s="30">
        <f>+[1]L.KIRDAR!AG483-[1]L.KIRDAR!AG416-[1]L.KIRDAR!AG421-[1]L.KIRDAR!AG438-[1]L.KIRDAR!AG466-[1]L.KIRDAR!AG474</f>
        <v>0</v>
      </c>
      <c r="AJ261" s="31"/>
      <c r="AK261" s="31"/>
      <c r="AL261" s="79">
        <f>+[1]L.KIRDAR!AJ483-[1]L.KIRDAR!AJ416-[1]L.KIRDAR!AJ421-[1]L.KIRDAR!AJ438-[1]L.KIRDAR!AJ466-[1]L.KIRDAR!AJ474</f>
        <v>0</v>
      </c>
    </row>
    <row r="262" spans="1:38" x14ac:dyDescent="0.25">
      <c r="A262" s="85" t="s">
        <v>62</v>
      </c>
      <c r="B262" s="32" t="s">
        <v>65</v>
      </c>
      <c r="C262" s="33" t="s">
        <v>54</v>
      </c>
      <c r="D262" s="34" t="s">
        <v>23</v>
      </c>
      <c r="E262" s="59">
        <f>+E237+E238+E247+E249+E250+E251+E258+E260+E261</f>
        <v>5214958.3007314224</v>
      </c>
      <c r="F262" s="60"/>
      <c r="G262" s="60"/>
      <c r="H262" s="61">
        <f>+H237+H238+H247+H249+H250+H251+H258+H260+H261</f>
        <v>4113529.5303256456</v>
      </c>
      <c r="I262" s="61"/>
      <c r="J262" s="61"/>
      <c r="K262" s="61">
        <f>+K237+K238+K247+K249+K250+K251+K258+K260+K261</f>
        <v>5092911.7785849459</v>
      </c>
      <c r="L262" s="61"/>
      <c r="M262" s="61"/>
      <c r="N262" s="61">
        <f>+N237+N238+N247+N249+N250+N251+N258+N260+N261</f>
        <v>7536490.8093056288</v>
      </c>
      <c r="O262" s="61"/>
      <c r="P262" s="61"/>
      <c r="Q262" s="61">
        <f>+Q237+Q238+Q247+Q249+Q250+Q251+Q258+Q260+Q261</f>
        <v>14649815.810167618</v>
      </c>
      <c r="R262" s="61"/>
      <c r="S262" s="61"/>
      <c r="T262" s="61">
        <f>+T237+T238+T247+T249+T250+T251+T258+T260+T261</f>
        <v>23711309.953453489</v>
      </c>
      <c r="U262" s="61"/>
      <c r="V262" s="61"/>
      <c r="W262" s="61">
        <f>+W237+W238+W247+W249+W250+W251+W258+W260+W261</f>
        <v>4149619.8745142194</v>
      </c>
      <c r="X262" s="61"/>
      <c r="Y262" s="61"/>
      <c r="Z262" s="61">
        <f>+Z237+Z238+Z247+Z249+Z250+Z251+Z258+Z260+Z261</f>
        <v>0</v>
      </c>
      <c r="AA262" s="61"/>
      <c r="AB262" s="61"/>
      <c r="AC262" s="61">
        <f>+AC237+AC238+AC247+AC249+AC250+AC251+AC258+AC260+AC261</f>
        <v>0</v>
      </c>
      <c r="AD262" s="61"/>
      <c r="AE262" s="61"/>
      <c r="AF262" s="61">
        <f>+AF237+AF238+AF247+AF249+AF250+AF251+AF258+AF260+AF261</f>
        <v>0</v>
      </c>
      <c r="AG262" s="61"/>
      <c r="AH262" s="61"/>
      <c r="AI262" s="61">
        <f>+AI237+AI238+AI247+AI249+AI250+AI251+AI258+AI260+AI261</f>
        <v>0</v>
      </c>
      <c r="AJ262" s="62"/>
      <c r="AK262" s="62"/>
      <c r="AL262" s="114">
        <f>+AL237+AL238+AL247+AL249+AL250+AL251+AL258+AL260+AL261</f>
        <v>0</v>
      </c>
    </row>
    <row r="263" spans="1:38" ht="15.75" thickBot="1" x14ac:dyDescent="0.3">
      <c r="A263" s="115" t="s">
        <v>62</v>
      </c>
      <c r="B263" s="116" t="s">
        <v>65</v>
      </c>
      <c r="C263" s="117" t="s">
        <v>55</v>
      </c>
      <c r="D263" s="118" t="s">
        <v>23</v>
      </c>
      <c r="E263" s="119">
        <f>+E262-[1]L.KIRDAR!C483</f>
        <v>0</v>
      </c>
      <c r="F263" s="120"/>
      <c r="G263" s="120"/>
      <c r="H263" s="121">
        <f>+H262-[1]L.KIRDAR!F483</f>
        <v>0</v>
      </c>
      <c r="I263" s="121"/>
      <c r="J263" s="121"/>
      <c r="K263" s="121">
        <f>+K262-[1]L.KIRDAR!I483</f>
        <v>0</v>
      </c>
      <c r="L263" s="121"/>
      <c r="M263" s="121"/>
      <c r="N263" s="121">
        <f>+N262-[1]L.KIRDAR!L483</f>
        <v>0</v>
      </c>
      <c r="O263" s="121"/>
      <c r="P263" s="121"/>
      <c r="Q263" s="121">
        <f>+Q262-[1]L.KIRDAR!O483</f>
        <v>0</v>
      </c>
      <c r="R263" s="121"/>
      <c r="S263" s="121"/>
      <c r="T263" s="121">
        <f>+T262-[1]L.KIRDAR!R483</f>
        <v>0</v>
      </c>
      <c r="U263" s="121"/>
      <c r="V263" s="121"/>
      <c r="W263" s="121">
        <f>+W262-[1]L.KIRDAR!U483</f>
        <v>0</v>
      </c>
      <c r="X263" s="121"/>
      <c r="Y263" s="121"/>
      <c r="Z263" s="121">
        <f>+Z262-[1]L.KIRDAR!X483</f>
        <v>0</v>
      </c>
      <c r="AA263" s="121"/>
      <c r="AB263" s="121"/>
      <c r="AC263" s="121">
        <f>+AC262-[1]L.KIRDAR!AA483</f>
        <v>0</v>
      </c>
      <c r="AD263" s="121"/>
      <c r="AE263" s="121"/>
      <c r="AF263" s="121">
        <f>+AF262-[1]L.KIRDAR!AD483</f>
        <v>0</v>
      </c>
      <c r="AG263" s="121"/>
      <c r="AH263" s="121"/>
      <c r="AI263" s="121">
        <f>+AI262-[1]L.KIRDAR!AG483</f>
        <v>0</v>
      </c>
      <c r="AJ263" s="122"/>
      <c r="AK263" s="122"/>
      <c r="AL263" s="123">
        <f>+AL262-[1]L.KIRDAR!AJ483</f>
        <v>0</v>
      </c>
    </row>
    <row r="264" spans="1:38" x14ac:dyDescent="0.25">
      <c r="A264" s="64" t="s">
        <v>62</v>
      </c>
      <c r="B264" s="65" t="s">
        <v>66</v>
      </c>
      <c r="C264" s="66" t="s">
        <v>19</v>
      </c>
      <c r="D264" s="67" t="s">
        <v>20</v>
      </c>
      <c r="E264" s="68">
        <f>+[1]L.KIRDAR!C496</f>
        <v>170</v>
      </c>
      <c r="F264" s="69"/>
      <c r="G264" s="69"/>
      <c r="H264" s="70">
        <f>+[1]L.KIRDAR!F496</f>
        <v>107</v>
      </c>
      <c r="I264" s="70"/>
      <c r="J264" s="70"/>
      <c r="K264" s="70">
        <f>+[1]L.KIRDAR!I496</f>
        <v>296</v>
      </c>
      <c r="L264" s="70"/>
      <c r="M264" s="70"/>
      <c r="N264" s="70">
        <f>+[1]L.KIRDAR!L496</f>
        <v>518</v>
      </c>
      <c r="O264" s="70"/>
      <c r="P264" s="70"/>
      <c r="Q264" s="70">
        <f>+[1]L.KIRDAR!O496</f>
        <v>329</v>
      </c>
      <c r="R264" s="70"/>
      <c r="S264" s="70"/>
      <c r="T264" s="70">
        <f>+[1]L.KIRDAR!R496</f>
        <v>1557</v>
      </c>
      <c r="U264" s="70"/>
      <c r="V264" s="70"/>
      <c r="W264" s="70">
        <f>+[1]L.KIRDAR!U496</f>
        <v>165</v>
      </c>
      <c r="X264" s="70"/>
      <c r="Y264" s="70"/>
      <c r="Z264" s="70">
        <f>+[1]L.KIRDAR!X496</f>
        <v>0</v>
      </c>
      <c r="AA264" s="70"/>
      <c r="AB264" s="70"/>
      <c r="AC264" s="70">
        <f>+[1]L.KIRDAR!AA496</f>
        <v>0</v>
      </c>
      <c r="AD264" s="70"/>
      <c r="AE264" s="70"/>
      <c r="AF264" s="70">
        <f>+[1]L.KIRDAR!AD496</f>
        <v>0</v>
      </c>
      <c r="AG264" s="70"/>
      <c r="AH264" s="70"/>
      <c r="AI264" s="70">
        <f>+[1]L.KIRDAR!AG496</f>
        <v>0</v>
      </c>
      <c r="AJ264" s="71"/>
      <c r="AK264" s="71"/>
      <c r="AL264" s="72">
        <f>+[1]L.KIRDAR!AJ496</f>
        <v>0</v>
      </c>
    </row>
    <row r="265" spans="1:38" x14ac:dyDescent="0.25">
      <c r="A265" s="73" t="s">
        <v>62</v>
      </c>
      <c r="B265" s="6" t="s">
        <v>66</v>
      </c>
      <c r="C265" s="7" t="s">
        <v>21</v>
      </c>
      <c r="D265" s="8" t="s">
        <v>20</v>
      </c>
      <c r="E265" s="9"/>
      <c r="F265" s="10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2"/>
      <c r="AK265" s="12"/>
      <c r="AL265" s="74"/>
    </row>
    <row r="266" spans="1:38" x14ac:dyDescent="0.25">
      <c r="A266" s="73" t="s">
        <v>62</v>
      </c>
      <c r="B266" s="6" t="s">
        <v>66</v>
      </c>
      <c r="C266" s="7" t="s">
        <v>22</v>
      </c>
      <c r="D266" s="8" t="s">
        <v>23</v>
      </c>
      <c r="E266" s="13">
        <f>+[1]L.KIRDAR!C491</f>
        <v>17031.099999999999</v>
      </c>
      <c r="F266" s="14"/>
      <c r="G266" s="14"/>
      <c r="H266" s="15">
        <f>+[1]L.KIRDAR!F491</f>
        <v>8483.6899999999987</v>
      </c>
      <c r="I266" s="14"/>
      <c r="J266" s="14"/>
      <c r="K266" s="13">
        <f>+[1]L.KIRDAR!I491</f>
        <v>23763.21</v>
      </c>
      <c r="L266" s="14"/>
      <c r="M266" s="14"/>
      <c r="N266" s="15">
        <f>+[1]L.KIRDAR!L491</f>
        <v>47602.3</v>
      </c>
      <c r="O266" s="15"/>
      <c r="P266" s="15"/>
      <c r="Q266" s="15">
        <f>+[1]L.KIRDAR!O491</f>
        <v>39962.92</v>
      </c>
      <c r="R266" s="15"/>
      <c r="S266" s="15"/>
      <c r="T266" s="15">
        <f>+[1]L.KIRDAR!R491</f>
        <v>283616.87</v>
      </c>
      <c r="U266" s="15"/>
      <c r="V266" s="15"/>
      <c r="W266" s="15">
        <f>+[1]L.KIRDAR!U491</f>
        <v>20675.189999999999</v>
      </c>
      <c r="X266" s="15"/>
      <c r="Y266" s="15"/>
      <c r="Z266" s="15">
        <f>+[1]L.KIRDAR!X491</f>
        <v>0</v>
      </c>
      <c r="AA266" s="15"/>
      <c r="AB266" s="15"/>
      <c r="AC266" s="15">
        <f>+[1]L.KIRDAR!AA491</f>
        <v>0</v>
      </c>
      <c r="AD266" s="15"/>
      <c r="AE266" s="15"/>
      <c r="AF266" s="15">
        <f>+[1]L.KIRDAR!AD491</f>
        <v>0</v>
      </c>
      <c r="AG266" s="15"/>
      <c r="AH266" s="15"/>
      <c r="AI266" s="15">
        <f>+[1]L.KIRDAR!AG491</f>
        <v>0</v>
      </c>
      <c r="AJ266" s="16"/>
      <c r="AK266" s="16"/>
      <c r="AL266" s="75">
        <f>+[1]L.KIRDAR!AJ491</f>
        <v>0</v>
      </c>
    </row>
    <row r="267" spans="1:38" x14ac:dyDescent="0.25">
      <c r="A267" s="73" t="s">
        <v>62</v>
      </c>
      <c r="B267" s="6" t="s">
        <v>66</v>
      </c>
      <c r="C267" s="7" t="s">
        <v>24</v>
      </c>
      <c r="D267" s="8" t="s">
        <v>23</v>
      </c>
      <c r="E267" s="13">
        <f>+[1]L.KIRDAR!C492</f>
        <v>20894.91</v>
      </c>
      <c r="F267" s="17"/>
      <c r="G267" s="17"/>
      <c r="H267" s="18">
        <f>+[1]L.KIRDAR!F492</f>
        <v>14141.31</v>
      </c>
      <c r="I267" s="18"/>
      <c r="J267" s="18"/>
      <c r="K267" s="18">
        <f>+[1]L.KIRDAR!I492</f>
        <v>47708.39</v>
      </c>
      <c r="L267" s="18"/>
      <c r="M267" s="18"/>
      <c r="N267" s="18">
        <f>+[1]L.KIRDAR!L492</f>
        <v>93892.92</v>
      </c>
      <c r="O267" s="18"/>
      <c r="P267" s="18"/>
      <c r="Q267" s="18">
        <f>+[1]L.KIRDAR!O492</f>
        <v>52077.77</v>
      </c>
      <c r="R267" s="18"/>
      <c r="S267" s="18"/>
      <c r="T267" s="18">
        <f>+[1]L.KIRDAR!R492</f>
        <v>321078.75</v>
      </c>
      <c r="U267" s="18"/>
      <c r="V267" s="18"/>
      <c r="W267" s="18">
        <f>+[1]L.KIRDAR!U492</f>
        <v>32006.720000000001</v>
      </c>
      <c r="X267" s="18"/>
      <c r="Y267" s="18"/>
      <c r="Z267" s="18">
        <f>+[1]L.KIRDAR!X492</f>
        <v>0</v>
      </c>
      <c r="AA267" s="18"/>
      <c r="AB267" s="18"/>
      <c r="AC267" s="18">
        <f>+[1]L.KIRDAR!AA492</f>
        <v>0</v>
      </c>
      <c r="AD267" s="18"/>
      <c r="AE267" s="18"/>
      <c r="AF267" s="18">
        <f>+[1]L.KIRDAR!AD492</f>
        <v>0</v>
      </c>
      <c r="AG267" s="18"/>
      <c r="AH267" s="18"/>
      <c r="AI267" s="18">
        <f>+[1]L.KIRDAR!AG492</f>
        <v>0</v>
      </c>
      <c r="AJ267" s="19"/>
      <c r="AK267" s="19"/>
      <c r="AL267" s="76">
        <f>+[1]L.KIRDAR!AJ492</f>
        <v>0</v>
      </c>
    </row>
    <row r="268" spans="1:38" x14ac:dyDescent="0.25">
      <c r="A268" s="73" t="s">
        <v>62</v>
      </c>
      <c r="B268" s="6" t="s">
        <v>66</v>
      </c>
      <c r="C268" s="7" t="s">
        <v>25</v>
      </c>
      <c r="D268" s="8" t="s">
        <v>23</v>
      </c>
      <c r="E268" s="20">
        <f>+[1]L.KIRDAR!C495-[1]L.KIRDAR!C491-[1]L.KIRDAR!C492</f>
        <v>1947.9199999999946</v>
      </c>
      <c r="F268" s="21"/>
      <c r="G268" s="21"/>
      <c r="H268" s="22">
        <f>+[1]L.KIRDAR!F495-[1]L.KIRDAR!F491-[1]L.KIRDAR!F492</f>
        <v>0</v>
      </c>
      <c r="I268" s="22"/>
      <c r="J268" s="22"/>
      <c r="K268" s="22">
        <f>+[1]L.KIRDAR!I495-[1]L.KIRDAR!I491-[1]L.KIRDAR!I492</f>
        <v>0</v>
      </c>
      <c r="L268" s="22"/>
      <c r="M268" s="22"/>
      <c r="N268" s="22">
        <f>+[1]L.KIRDAR!L495-[1]L.KIRDAR!L491-[1]L.KIRDAR!L492</f>
        <v>1345.8299999999872</v>
      </c>
      <c r="O268" s="22"/>
      <c r="P268" s="22"/>
      <c r="Q268" s="22">
        <f>+[1]L.KIRDAR!O495-[1]L.KIRDAR!O491-[1]L.KIRDAR!O492</f>
        <v>0</v>
      </c>
      <c r="R268" s="22"/>
      <c r="S268" s="22"/>
      <c r="T268" s="22">
        <f>+[1]L.KIRDAR!R495-[1]L.KIRDAR!R491-[1]L.KIRDAR!R492</f>
        <v>0</v>
      </c>
      <c r="U268" s="22"/>
      <c r="V268" s="22"/>
      <c r="W268" s="22">
        <f>+[1]L.KIRDAR!U495-[1]L.KIRDAR!U491-[1]L.KIRDAR!U492</f>
        <v>1466.25</v>
      </c>
      <c r="X268" s="22"/>
      <c r="Y268" s="22"/>
      <c r="Z268" s="22">
        <f>+[1]L.KIRDAR!X495-[1]L.KIRDAR!X491-[1]L.KIRDAR!X492</f>
        <v>0</v>
      </c>
      <c r="AA268" s="22"/>
      <c r="AB268" s="22"/>
      <c r="AC268" s="22">
        <f>+[1]L.KIRDAR!AA495-[1]L.KIRDAR!AA491-[1]L.KIRDAR!AA492</f>
        <v>0</v>
      </c>
      <c r="AD268" s="22"/>
      <c r="AE268" s="22"/>
      <c r="AF268" s="22">
        <f>+[1]L.KIRDAR!AD495-[1]L.KIRDAR!AD491-[1]L.KIRDAR!AD492</f>
        <v>0</v>
      </c>
      <c r="AG268" s="22"/>
      <c r="AH268" s="22"/>
      <c r="AI268" s="22">
        <f>+[1]L.KIRDAR!AG495-[1]L.KIRDAR!AG491-[1]L.KIRDAR!AG492</f>
        <v>0</v>
      </c>
      <c r="AJ268" s="23"/>
      <c r="AK268" s="23"/>
      <c r="AL268" s="77">
        <f>+[1]L.KIRDAR!AJ495-[1]L.KIRDAR!AJ491-[1]L.KIRDAR!AJ492</f>
        <v>0</v>
      </c>
    </row>
    <row r="269" spans="1:38" x14ac:dyDescent="0.25">
      <c r="A269" s="73" t="s">
        <v>62</v>
      </c>
      <c r="B269" s="6" t="s">
        <v>66</v>
      </c>
      <c r="C269" s="7" t="s">
        <v>26</v>
      </c>
      <c r="D269" s="8" t="s">
        <v>23</v>
      </c>
      <c r="E269" s="24">
        <f>+[1]L.KIRDAR!C516</f>
        <v>9659.2000000000007</v>
      </c>
      <c r="F269" s="25"/>
      <c r="G269" s="25"/>
      <c r="H269" s="26">
        <f>+[1]L.KIRDAR!F516</f>
        <v>33388.69</v>
      </c>
      <c r="I269" s="26"/>
      <c r="J269" s="26"/>
      <c r="K269" s="26">
        <f>+[1]L.KIRDAR!I516</f>
        <v>47254</v>
      </c>
      <c r="L269" s="26"/>
      <c r="M269" s="26"/>
      <c r="N269" s="26">
        <f>+[1]L.KIRDAR!L516</f>
        <v>16417.310000000001</v>
      </c>
      <c r="O269" s="26"/>
      <c r="P269" s="26"/>
      <c r="Q269" s="26">
        <f>+[1]L.KIRDAR!O516</f>
        <v>22043.83</v>
      </c>
      <c r="R269" s="26"/>
      <c r="S269" s="26"/>
      <c r="T269" s="26">
        <f>+[1]L.KIRDAR!R516</f>
        <v>81140.479999999996</v>
      </c>
      <c r="U269" s="26"/>
      <c r="V269" s="26"/>
      <c r="W269" s="26">
        <f>+[1]L.KIRDAR!U516</f>
        <v>40649.549999999996</v>
      </c>
      <c r="X269" s="26"/>
      <c r="Y269" s="26"/>
      <c r="Z269" s="26">
        <f>+[1]L.KIRDAR!X516</f>
        <v>0</v>
      </c>
      <c r="AA269" s="26"/>
      <c r="AB269" s="26"/>
      <c r="AC269" s="26">
        <f>+[1]L.KIRDAR!AA516</f>
        <v>0</v>
      </c>
      <c r="AD269" s="26"/>
      <c r="AE269" s="26"/>
      <c r="AF269" s="26">
        <f>+[1]L.KIRDAR!AD516</f>
        <v>0</v>
      </c>
      <c r="AG269" s="26"/>
      <c r="AH269" s="26"/>
      <c r="AI269" s="26">
        <f>+[1]L.KIRDAR!AG516</f>
        <v>0</v>
      </c>
      <c r="AJ269" s="27"/>
      <c r="AK269" s="27"/>
      <c r="AL269" s="78">
        <f>+[1]L.KIRDAR!AJ516</f>
        <v>0</v>
      </c>
    </row>
    <row r="270" spans="1:38" x14ac:dyDescent="0.25">
      <c r="A270" s="73" t="s">
        <v>62</v>
      </c>
      <c r="B270" s="6" t="s">
        <v>66</v>
      </c>
      <c r="C270" s="7" t="s">
        <v>27</v>
      </c>
      <c r="D270" s="8" t="s">
        <v>23</v>
      </c>
      <c r="E270" s="28">
        <f>+[1]L.KIRDAR!C517</f>
        <v>10611.460000000001</v>
      </c>
      <c r="F270" s="29"/>
      <c r="G270" s="29"/>
      <c r="H270" s="30">
        <f>+[1]L.KIRDAR!F517</f>
        <v>490.4</v>
      </c>
      <c r="I270" s="30"/>
      <c r="J270" s="30"/>
      <c r="K270" s="30">
        <f>+[1]L.KIRDAR!I517</f>
        <v>65916.25</v>
      </c>
      <c r="L270" s="30"/>
      <c r="M270" s="30"/>
      <c r="N270" s="30">
        <f>+[1]L.KIRDAR!L517</f>
        <v>49689.74</v>
      </c>
      <c r="O270" s="30"/>
      <c r="P270" s="30"/>
      <c r="Q270" s="30">
        <f>+[1]L.KIRDAR!O517</f>
        <v>-739.64</v>
      </c>
      <c r="R270" s="30"/>
      <c r="S270" s="30"/>
      <c r="T270" s="30">
        <f>+[1]L.KIRDAR!R517</f>
        <v>92545.38</v>
      </c>
      <c r="U270" s="30"/>
      <c r="V270" s="30"/>
      <c r="W270" s="30">
        <f>+[1]L.KIRDAR!U517</f>
        <v>38115.39</v>
      </c>
      <c r="X270" s="30"/>
      <c r="Y270" s="30"/>
      <c r="Z270" s="30">
        <f>+[1]L.KIRDAR!X517</f>
        <v>0</v>
      </c>
      <c r="AA270" s="30"/>
      <c r="AB270" s="30"/>
      <c r="AC270" s="30">
        <f>+[1]L.KIRDAR!AA517</f>
        <v>0</v>
      </c>
      <c r="AD270" s="30"/>
      <c r="AE270" s="30"/>
      <c r="AF270" s="30">
        <f>+[1]L.KIRDAR!AD517</f>
        <v>0</v>
      </c>
      <c r="AG270" s="30"/>
      <c r="AH270" s="30"/>
      <c r="AI270" s="30">
        <f>+[1]L.KIRDAR!AG517</f>
        <v>0</v>
      </c>
      <c r="AJ270" s="31"/>
      <c r="AK270" s="31"/>
      <c r="AL270" s="79">
        <f>+[1]L.KIRDAR!AJ517</f>
        <v>0</v>
      </c>
    </row>
    <row r="271" spans="1:38" x14ac:dyDescent="0.25">
      <c r="A271" s="73" t="s">
        <v>62</v>
      </c>
      <c r="B271" s="6" t="s">
        <v>66</v>
      </c>
      <c r="C271" s="7" t="s">
        <v>28</v>
      </c>
      <c r="D271" s="8" t="s">
        <v>29</v>
      </c>
      <c r="E271" s="124">
        <f>+[1]L.KIRDAR!C500</f>
        <v>1</v>
      </c>
      <c r="F271" s="125"/>
      <c r="G271" s="125"/>
      <c r="H271" s="126">
        <f>+[1]L.KIRDAR!F500</f>
        <v>1.1299999999999999</v>
      </c>
      <c r="I271" s="126"/>
      <c r="J271" s="126"/>
      <c r="K271" s="126">
        <f>+[1]L.KIRDAR!I500</f>
        <v>1</v>
      </c>
      <c r="L271" s="126"/>
      <c r="M271" s="126"/>
      <c r="N271" s="126">
        <f>+[1]L.KIRDAR!L500</f>
        <v>0.73</v>
      </c>
      <c r="O271" s="126"/>
      <c r="P271" s="126"/>
      <c r="Q271" s="126">
        <f>+[1]L.KIRDAR!O500</f>
        <v>0.67</v>
      </c>
      <c r="R271" s="126"/>
      <c r="S271" s="126"/>
      <c r="T271" s="126">
        <f>+[1]L.KIRDAR!R500</f>
        <v>1</v>
      </c>
      <c r="U271" s="126"/>
      <c r="V271" s="126"/>
      <c r="W271" s="126">
        <f>+[1]L.KIRDAR!U500</f>
        <v>1</v>
      </c>
      <c r="X271" s="126"/>
      <c r="Y271" s="126"/>
      <c r="Z271" s="126">
        <f>+[1]L.KIRDAR!X500</f>
        <v>0</v>
      </c>
      <c r="AA271" s="126"/>
      <c r="AB271" s="126"/>
      <c r="AC271" s="126">
        <f>+[1]L.KIRDAR!AA500</f>
        <v>0</v>
      </c>
      <c r="AD271" s="126"/>
      <c r="AE271" s="126"/>
      <c r="AF271" s="126">
        <f>+[1]L.KIRDAR!AD500</f>
        <v>0</v>
      </c>
      <c r="AG271" s="126"/>
      <c r="AH271" s="126"/>
      <c r="AI271" s="126">
        <f>+[1]L.KIRDAR!AG500</f>
        <v>0</v>
      </c>
      <c r="AJ271" s="127"/>
      <c r="AK271" s="127"/>
      <c r="AL271" s="128">
        <f>+[1]L.KIRDAR!AJ500</f>
        <v>0</v>
      </c>
    </row>
    <row r="272" spans="1:38" x14ac:dyDescent="0.25">
      <c r="A272" s="85" t="s">
        <v>62</v>
      </c>
      <c r="B272" s="32" t="s">
        <v>66</v>
      </c>
      <c r="C272" s="33" t="s">
        <v>30</v>
      </c>
      <c r="D272" s="34" t="s">
        <v>29</v>
      </c>
      <c r="E272" s="129">
        <f>+[1]L.KIRDAR!C501</f>
        <v>0</v>
      </c>
      <c r="F272" s="130"/>
      <c r="G272" s="130"/>
      <c r="H272" s="131">
        <f>+[1]L.KIRDAR!F501</f>
        <v>0</v>
      </c>
      <c r="I272" s="131"/>
      <c r="J272" s="131"/>
      <c r="K272" s="131">
        <f>+[1]L.KIRDAR!I501</f>
        <v>0</v>
      </c>
      <c r="L272" s="131"/>
      <c r="M272" s="131"/>
      <c r="N272" s="131">
        <f>+[1]L.KIRDAR!L501</f>
        <v>0</v>
      </c>
      <c r="O272" s="131"/>
      <c r="P272" s="131"/>
      <c r="Q272" s="131">
        <f>+[1]L.KIRDAR!O501</f>
        <v>0</v>
      </c>
      <c r="R272" s="131"/>
      <c r="S272" s="131"/>
      <c r="T272" s="131">
        <f>+[1]L.KIRDAR!R501</f>
        <v>0</v>
      </c>
      <c r="U272" s="131"/>
      <c r="V272" s="131"/>
      <c r="W272" s="131">
        <f>+[1]L.KIRDAR!U501</f>
        <v>0</v>
      </c>
      <c r="X272" s="131"/>
      <c r="Y272" s="131"/>
      <c r="Z272" s="131">
        <f>+[1]L.KIRDAR!X501</f>
        <v>0</v>
      </c>
      <c r="AA272" s="131"/>
      <c r="AB272" s="131"/>
      <c r="AC272" s="131">
        <f>+[1]L.KIRDAR!AA501</f>
        <v>0</v>
      </c>
      <c r="AD272" s="131"/>
      <c r="AE272" s="131"/>
      <c r="AF272" s="131">
        <f>+[1]L.KIRDAR!AD501</f>
        <v>0</v>
      </c>
      <c r="AG272" s="131"/>
      <c r="AH272" s="131"/>
      <c r="AI272" s="131">
        <f>+[1]L.KIRDAR!AG501</f>
        <v>0</v>
      </c>
      <c r="AJ272" s="132"/>
      <c r="AK272" s="132"/>
      <c r="AL272" s="133">
        <f>+[1]L.KIRDAR!AJ501</f>
        <v>0</v>
      </c>
    </row>
    <row r="273" spans="1:38" x14ac:dyDescent="0.25">
      <c r="A273" s="85" t="s">
        <v>62</v>
      </c>
      <c r="B273" s="32" t="s">
        <v>66</v>
      </c>
      <c r="C273" s="33" t="s">
        <v>31</v>
      </c>
      <c r="D273" s="34" t="s">
        <v>29</v>
      </c>
      <c r="E273" s="129">
        <f>+[1]L.KIRDAR!C502</f>
        <v>0</v>
      </c>
      <c r="F273" s="130"/>
      <c r="G273" s="130"/>
      <c r="H273" s="131">
        <f>+[1]L.KIRDAR!F502</f>
        <v>0</v>
      </c>
      <c r="I273" s="131"/>
      <c r="J273" s="131"/>
      <c r="K273" s="131">
        <f>+[1]L.KIRDAR!I502</f>
        <v>0</v>
      </c>
      <c r="L273" s="131"/>
      <c r="M273" s="131"/>
      <c r="N273" s="131">
        <f>+[1]L.KIRDAR!L502</f>
        <v>0</v>
      </c>
      <c r="O273" s="131"/>
      <c r="P273" s="131"/>
      <c r="Q273" s="131">
        <f>+[1]L.KIRDAR!O502</f>
        <v>0</v>
      </c>
      <c r="R273" s="131"/>
      <c r="S273" s="131"/>
      <c r="T273" s="131">
        <f>+[1]L.KIRDAR!R502</f>
        <v>0</v>
      </c>
      <c r="U273" s="131"/>
      <c r="V273" s="131"/>
      <c r="W273" s="131">
        <f>+[1]L.KIRDAR!U502</f>
        <v>0</v>
      </c>
      <c r="X273" s="131"/>
      <c r="Y273" s="131"/>
      <c r="Z273" s="131">
        <f>+[1]L.KIRDAR!X502</f>
        <v>0</v>
      </c>
      <c r="AA273" s="131"/>
      <c r="AB273" s="131"/>
      <c r="AC273" s="131">
        <f>+[1]L.KIRDAR!AA502</f>
        <v>0</v>
      </c>
      <c r="AD273" s="131"/>
      <c r="AE273" s="131"/>
      <c r="AF273" s="131">
        <f>+[1]L.KIRDAR!AD502</f>
        <v>0</v>
      </c>
      <c r="AG273" s="131"/>
      <c r="AH273" s="131"/>
      <c r="AI273" s="131">
        <f>+[1]L.KIRDAR!AG502</f>
        <v>0</v>
      </c>
      <c r="AJ273" s="132"/>
      <c r="AK273" s="132"/>
      <c r="AL273" s="133">
        <f>+[1]L.KIRDAR!AJ502</f>
        <v>0</v>
      </c>
    </row>
    <row r="274" spans="1:38" x14ac:dyDescent="0.25">
      <c r="A274" s="85" t="s">
        <v>62</v>
      </c>
      <c r="B274" s="32" t="s">
        <v>66</v>
      </c>
      <c r="C274" s="33" t="s">
        <v>32</v>
      </c>
      <c r="D274" s="34" t="s">
        <v>29</v>
      </c>
      <c r="E274" s="129">
        <f>+[1]L.KIRDAR!C503</f>
        <v>0.97</v>
      </c>
      <c r="F274" s="130"/>
      <c r="G274" s="130"/>
      <c r="H274" s="131">
        <f>+[1]L.KIRDAR!F503</f>
        <v>0.8</v>
      </c>
      <c r="I274" s="131"/>
      <c r="J274" s="131"/>
      <c r="K274" s="131">
        <f>+[1]L.KIRDAR!I503</f>
        <v>0.9</v>
      </c>
      <c r="L274" s="131"/>
      <c r="M274" s="131"/>
      <c r="N274" s="131">
        <f>+[1]L.KIRDAR!L503</f>
        <v>1.47</v>
      </c>
      <c r="O274" s="131"/>
      <c r="P274" s="131"/>
      <c r="Q274" s="131">
        <f>+[1]L.KIRDAR!O503</f>
        <v>5</v>
      </c>
      <c r="R274" s="131"/>
      <c r="S274" s="131"/>
      <c r="T274" s="131">
        <f>+[1]L.KIRDAR!R503</f>
        <v>5.0999999999999996</v>
      </c>
      <c r="U274" s="131"/>
      <c r="V274" s="131"/>
      <c r="W274" s="131">
        <f>+[1]L.KIRDAR!U503</f>
        <v>7</v>
      </c>
      <c r="X274" s="131"/>
      <c r="Y274" s="131"/>
      <c r="Z274" s="131">
        <f>+[1]L.KIRDAR!X503</f>
        <v>0</v>
      </c>
      <c r="AA274" s="131"/>
      <c r="AB274" s="131"/>
      <c r="AC274" s="131">
        <f>+[1]L.KIRDAR!AA503</f>
        <v>0</v>
      </c>
      <c r="AD274" s="131"/>
      <c r="AE274" s="131"/>
      <c r="AF274" s="131">
        <f>+[1]L.KIRDAR!AD503</f>
        <v>0</v>
      </c>
      <c r="AG274" s="131"/>
      <c r="AH274" s="131"/>
      <c r="AI274" s="131">
        <f>+[1]L.KIRDAR!AG503</f>
        <v>0</v>
      </c>
      <c r="AJ274" s="132"/>
      <c r="AK274" s="132"/>
      <c r="AL274" s="133">
        <f>+[1]L.KIRDAR!AJ503</f>
        <v>0</v>
      </c>
    </row>
    <row r="275" spans="1:38" x14ac:dyDescent="0.25">
      <c r="A275" s="85" t="s">
        <v>62</v>
      </c>
      <c r="B275" s="32" t="s">
        <v>66</v>
      </c>
      <c r="C275" s="33" t="s">
        <v>33</v>
      </c>
      <c r="D275" s="34" t="s">
        <v>29</v>
      </c>
      <c r="E275" s="129">
        <f>SUM(E271:E274)</f>
        <v>1.97</v>
      </c>
      <c r="F275" s="130"/>
      <c r="G275" s="130"/>
      <c r="H275" s="129">
        <f>SUM(H271:H274)</f>
        <v>1.93</v>
      </c>
      <c r="I275" s="131"/>
      <c r="J275" s="131"/>
      <c r="K275" s="129">
        <f>SUM(K271:K274)</f>
        <v>1.9</v>
      </c>
      <c r="L275" s="131"/>
      <c r="M275" s="131"/>
      <c r="N275" s="129">
        <f>SUM(N271:N274)</f>
        <v>2.2000000000000002</v>
      </c>
      <c r="O275" s="131"/>
      <c r="P275" s="131"/>
      <c r="Q275" s="129">
        <f>SUM(Q271:Q274)</f>
        <v>5.67</v>
      </c>
      <c r="R275" s="131"/>
      <c r="S275" s="131"/>
      <c r="T275" s="129">
        <f>SUM(T271:T274)</f>
        <v>6.1</v>
      </c>
      <c r="U275" s="131"/>
      <c r="V275" s="131"/>
      <c r="W275" s="129">
        <f>SUM(W271:W274)</f>
        <v>8</v>
      </c>
      <c r="X275" s="131"/>
      <c r="Y275" s="131"/>
      <c r="Z275" s="129">
        <f>SUM(Z271:Z274)</f>
        <v>0</v>
      </c>
      <c r="AA275" s="131"/>
      <c r="AB275" s="131"/>
      <c r="AC275" s="129">
        <f>SUM(AC271:AC274)</f>
        <v>0</v>
      </c>
      <c r="AD275" s="131"/>
      <c r="AE275" s="131"/>
      <c r="AF275" s="129">
        <f>SUM(AF271:AF274)</f>
        <v>0</v>
      </c>
      <c r="AG275" s="131"/>
      <c r="AH275" s="131"/>
      <c r="AI275" s="129">
        <f>SUM(AI271:AI274)</f>
        <v>0</v>
      </c>
      <c r="AJ275" s="132"/>
      <c r="AK275" s="132"/>
      <c r="AL275" s="134">
        <f>SUM(AL271:AL274)</f>
        <v>0</v>
      </c>
    </row>
    <row r="276" spans="1:38" x14ac:dyDescent="0.25">
      <c r="A276" s="85" t="s">
        <v>62</v>
      </c>
      <c r="B276" s="32" t="s">
        <v>66</v>
      </c>
      <c r="C276" s="33" t="s">
        <v>34</v>
      </c>
      <c r="D276" s="34" t="s">
        <v>23</v>
      </c>
      <c r="E276" s="35">
        <f>+[1]L.KIRDAR!C507+[1]L.KIRDAR!C508+[1]L.KIRDAR!C509+[1]L.KIRDAR!C510</f>
        <v>72718.789999999994</v>
      </c>
      <c r="F276" s="36"/>
      <c r="G276" s="36"/>
      <c r="H276" s="35">
        <f>+[1]L.KIRDAR!F507+[1]L.KIRDAR!F508+[1]L.KIRDAR!F509+[1]L.KIRDAR!F510</f>
        <v>79935.47</v>
      </c>
      <c r="I276" s="18"/>
      <c r="J276" s="18"/>
      <c r="K276" s="35">
        <f>+[1]L.KIRDAR!I507+[1]L.KIRDAR!I508+[1]L.KIRDAR!I509+[1]L.KIRDAR!I510</f>
        <v>75646.6463521564</v>
      </c>
      <c r="L276" s="18"/>
      <c r="M276" s="18"/>
      <c r="N276" s="35">
        <f>+[1]L.KIRDAR!L507+[1]L.KIRDAR!L508+[1]L.KIRDAR!L509+[1]L.KIRDAR!L510</f>
        <v>58981.032070745445</v>
      </c>
      <c r="O276" s="18"/>
      <c r="P276" s="18"/>
      <c r="Q276" s="35">
        <f>+[1]L.KIRDAR!O507+[1]L.KIRDAR!O508+[1]L.KIRDAR!O509+[1]L.KIRDAR!O510</f>
        <v>0</v>
      </c>
      <c r="R276" s="18"/>
      <c r="S276" s="18"/>
      <c r="T276" s="35">
        <f>+[1]L.KIRDAR!R507+[1]L.KIRDAR!R508+[1]L.KIRDAR!R509+[1]L.KIRDAR!R510</f>
        <v>0</v>
      </c>
      <c r="U276" s="18"/>
      <c r="V276" s="18"/>
      <c r="W276" s="35">
        <f>+[1]L.KIRDAR!U507+[1]L.KIRDAR!U508+[1]L.KIRDAR!U509+[1]L.KIRDAR!U510</f>
        <v>0</v>
      </c>
      <c r="X276" s="18"/>
      <c r="Y276" s="18"/>
      <c r="Z276" s="35">
        <f>+[1]L.KIRDAR!X507+[1]L.KIRDAR!X508+[1]L.KIRDAR!X509+[1]L.KIRDAR!X510</f>
        <v>0</v>
      </c>
      <c r="AA276" s="18"/>
      <c r="AB276" s="18"/>
      <c r="AC276" s="35">
        <f>+[1]L.KIRDAR!AA507+[1]L.KIRDAR!AA508+[1]L.KIRDAR!AA509+[1]L.KIRDAR!AA510</f>
        <v>0</v>
      </c>
      <c r="AD276" s="18"/>
      <c r="AE276" s="18"/>
      <c r="AF276" s="35">
        <f>+[1]L.KIRDAR!AD507+[1]L.KIRDAR!AD508+[1]L.KIRDAR!AD509+[1]L.KIRDAR!AD510</f>
        <v>0</v>
      </c>
      <c r="AG276" s="18"/>
      <c r="AH276" s="18"/>
      <c r="AI276" s="35">
        <f>+[1]L.KIRDAR!AG507+[1]L.KIRDAR!AG508+[1]L.KIRDAR!AG509+[1]L.KIRDAR!AG510</f>
        <v>0</v>
      </c>
      <c r="AJ276" s="19"/>
      <c r="AK276" s="19"/>
      <c r="AL276" s="92">
        <f>+[1]L.KIRDAR!AJ507+[1]L.KIRDAR!AJ508+[1]L.KIRDAR!AJ509+[1]L.KIRDAR!AJ510</f>
        <v>0</v>
      </c>
    </row>
    <row r="277" spans="1:38" x14ac:dyDescent="0.25">
      <c r="A277" s="85" t="s">
        <v>62</v>
      </c>
      <c r="B277" s="32" t="s">
        <v>66</v>
      </c>
      <c r="C277" s="33" t="s">
        <v>35</v>
      </c>
      <c r="D277" s="34" t="s">
        <v>23</v>
      </c>
      <c r="E277" s="35">
        <f>+[1]L.KIRDAR!C511</f>
        <v>0</v>
      </c>
      <c r="F277" s="36"/>
      <c r="G277" s="36"/>
      <c r="H277" s="35">
        <f>+[1]L.KIRDAR!F511</f>
        <v>0</v>
      </c>
      <c r="I277" s="18"/>
      <c r="J277" s="18"/>
      <c r="K277" s="35">
        <f>+[1]L.KIRDAR!I511</f>
        <v>0</v>
      </c>
      <c r="L277" s="18"/>
      <c r="M277" s="18"/>
      <c r="N277" s="35">
        <f>+[1]L.KIRDAR!L511</f>
        <v>0</v>
      </c>
      <c r="O277" s="18"/>
      <c r="P277" s="18"/>
      <c r="Q277" s="35">
        <f>+[1]L.KIRDAR!O511</f>
        <v>0</v>
      </c>
      <c r="R277" s="18"/>
      <c r="S277" s="18"/>
      <c r="T277" s="35">
        <f>+[1]L.KIRDAR!R511</f>
        <v>0</v>
      </c>
      <c r="U277" s="18"/>
      <c r="V277" s="18"/>
      <c r="W277" s="35">
        <f>+[1]L.KIRDAR!U511</f>
        <v>0</v>
      </c>
      <c r="X277" s="18"/>
      <c r="Y277" s="18"/>
      <c r="Z277" s="35">
        <f>+[1]L.KIRDAR!X511</f>
        <v>0</v>
      </c>
      <c r="AA277" s="18"/>
      <c r="AB277" s="18"/>
      <c r="AC277" s="35">
        <f>+[1]L.KIRDAR!AA511</f>
        <v>0</v>
      </c>
      <c r="AD277" s="18"/>
      <c r="AE277" s="18"/>
      <c r="AF277" s="35">
        <f>+[1]L.KIRDAR!AD511</f>
        <v>0</v>
      </c>
      <c r="AG277" s="18"/>
      <c r="AH277" s="18"/>
      <c r="AI277" s="35">
        <f>+[1]L.KIRDAR!AG511</f>
        <v>0</v>
      </c>
      <c r="AJ277" s="19"/>
      <c r="AK277" s="19"/>
      <c r="AL277" s="92">
        <f>+[1]L.KIRDAR!AJ511</f>
        <v>0</v>
      </c>
    </row>
    <row r="278" spans="1:38" x14ac:dyDescent="0.25">
      <c r="A278" s="85" t="s">
        <v>62</v>
      </c>
      <c r="B278" s="32" t="s">
        <v>66</v>
      </c>
      <c r="C278" s="33" t="s">
        <v>36</v>
      </c>
      <c r="D278" s="34" t="s">
        <v>23</v>
      </c>
      <c r="E278" s="35">
        <f>+[1]L.KIRDAR!C512</f>
        <v>0</v>
      </c>
      <c r="F278" s="36"/>
      <c r="G278" s="36"/>
      <c r="H278" s="35">
        <f>+[1]L.KIRDAR!F512</f>
        <v>0</v>
      </c>
      <c r="I278" s="18"/>
      <c r="J278" s="18"/>
      <c r="K278" s="35">
        <f>+[1]L.KIRDAR!I512</f>
        <v>0</v>
      </c>
      <c r="L278" s="18"/>
      <c r="M278" s="18"/>
      <c r="N278" s="35">
        <f>+[1]L.KIRDAR!L512</f>
        <v>0</v>
      </c>
      <c r="O278" s="18"/>
      <c r="P278" s="18"/>
      <c r="Q278" s="35">
        <f>+[1]L.KIRDAR!O512</f>
        <v>0</v>
      </c>
      <c r="R278" s="18"/>
      <c r="S278" s="18"/>
      <c r="T278" s="35">
        <f>+[1]L.KIRDAR!R512</f>
        <v>0</v>
      </c>
      <c r="U278" s="18"/>
      <c r="V278" s="18"/>
      <c r="W278" s="35">
        <f>+[1]L.KIRDAR!U512</f>
        <v>0</v>
      </c>
      <c r="X278" s="18"/>
      <c r="Y278" s="18"/>
      <c r="Z278" s="35">
        <f>+[1]L.KIRDAR!X512</f>
        <v>0</v>
      </c>
      <c r="AA278" s="18"/>
      <c r="AB278" s="18"/>
      <c r="AC278" s="35">
        <f>+[1]L.KIRDAR!AA512</f>
        <v>0</v>
      </c>
      <c r="AD278" s="18"/>
      <c r="AE278" s="18"/>
      <c r="AF278" s="35">
        <f>+[1]L.KIRDAR!AD512</f>
        <v>0</v>
      </c>
      <c r="AG278" s="18"/>
      <c r="AH278" s="18"/>
      <c r="AI278" s="35">
        <f>+[1]L.KIRDAR!AG512</f>
        <v>0</v>
      </c>
      <c r="AJ278" s="19"/>
      <c r="AK278" s="19"/>
      <c r="AL278" s="92">
        <f>+[1]L.KIRDAR!AJ512</f>
        <v>0</v>
      </c>
    </row>
    <row r="279" spans="1:38" x14ac:dyDescent="0.25">
      <c r="A279" s="85" t="s">
        <v>62</v>
      </c>
      <c r="B279" s="32" t="s">
        <v>66</v>
      </c>
      <c r="C279" s="33" t="s">
        <v>37</v>
      </c>
      <c r="D279" s="34" t="s">
        <v>23</v>
      </c>
      <c r="E279" s="37">
        <f>SUM(E276:E278)</f>
        <v>72718.789999999994</v>
      </c>
      <c r="F279" s="38"/>
      <c r="G279" s="38"/>
      <c r="H279" s="37">
        <f>SUM(H276:H278)</f>
        <v>79935.47</v>
      </c>
      <c r="I279" s="39"/>
      <c r="J279" s="39"/>
      <c r="K279" s="37">
        <f>SUM(K276:K278)</f>
        <v>75646.6463521564</v>
      </c>
      <c r="L279" s="39"/>
      <c r="M279" s="39"/>
      <c r="N279" s="37">
        <f>SUM(N276:N278)</f>
        <v>58981.032070745445</v>
      </c>
      <c r="O279" s="39"/>
      <c r="P279" s="39"/>
      <c r="Q279" s="37">
        <f>SUM(Q276:Q278)</f>
        <v>0</v>
      </c>
      <c r="R279" s="39"/>
      <c r="S279" s="39"/>
      <c r="T279" s="37">
        <f>SUM(T276:T278)</f>
        <v>0</v>
      </c>
      <c r="U279" s="39"/>
      <c r="V279" s="39"/>
      <c r="W279" s="37">
        <f>SUM(W276:W278)</f>
        <v>0</v>
      </c>
      <c r="X279" s="39"/>
      <c r="Y279" s="39"/>
      <c r="Z279" s="37">
        <f>SUM(Z276:Z278)</f>
        <v>0</v>
      </c>
      <c r="AA279" s="39"/>
      <c r="AB279" s="39"/>
      <c r="AC279" s="37">
        <f>SUM(AC276:AC278)</f>
        <v>0</v>
      </c>
      <c r="AD279" s="39"/>
      <c r="AE279" s="39"/>
      <c r="AF279" s="37">
        <f>SUM(AF276:AF278)</f>
        <v>0</v>
      </c>
      <c r="AG279" s="39"/>
      <c r="AH279" s="39"/>
      <c r="AI279" s="37">
        <f>SUM(AI276:AI278)</f>
        <v>0</v>
      </c>
      <c r="AJ279" s="40"/>
      <c r="AK279" s="40"/>
      <c r="AL279" s="93">
        <f>SUM(AL276:AL278)</f>
        <v>0</v>
      </c>
    </row>
    <row r="280" spans="1:38" x14ac:dyDescent="0.25">
      <c r="A280" s="73" t="s">
        <v>62</v>
      </c>
      <c r="B280" s="6" t="s">
        <v>66</v>
      </c>
      <c r="C280" s="7" t="s">
        <v>38</v>
      </c>
      <c r="D280" s="8" t="s">
        <v>23</v>
      </c>
      <c r="E280" s="28">
        <f>IFERROR(E279/E275,0)</f>
        <v>36913.091370558373</v>
      </c>
      <c r="F280" s="29"/>
      <c r="G280" s="29"/>
      <c r="H280" s="28">
        <f>IFERROR(H279/H275,0)</f>
        <v>41417.341968911918</v>
      </c>
      <c r="I280" s="30"/>
      <c r="J280" s="30"/>
      <c r="K280" s="28">
        <f>IFERROR(K279/K275,0)</f>
        <v>39814.024395871791</v>
      </c>
      <c r="L280" s="30"/>
      <c r="M280" s="30"/>
      <c r="N280" s="28">
        <f>IFERROR(N279/N275,0)</f>
        <v>26809.560032157016</v>
      </c>
      <c r="O280" s="30"/>
      <c r="P280" s="30"/>
      <c r="Q280" s="28">
        <f>IFERROR(Q279/Q275,0)</f>
        <v>0</v>
      </c>
      <c r="R280" s="30"/>
      <c r="S280" s="30"/>
      <c r="T280" s="28">
        <f>IFERROR(T279/T275,0)</f>
        <v>0</v>
      </c>
      <c r="U280" s="30"/>
      <c r="V280" s="30"/>
      <c r="W280" s="28">
        <f>IFERROR(W279/W275,0)</f>
        <v>0</v>
      </c>
      <c r="X280" s="30"/>
      <c r="Y280" s="30"/>
      <c r="Z280" s="28">
        <f>IFERROR(Z279/Z275,0)</f>
        <v>0</v>
      </c>
      <c r="AA280" s="30"/>
      <c r="AB280" s="30"/>
      <c r="AC280" s="28">
        <f>IFERROR(AC279/AC275,0)</f>
        <v>0</v>
      </c>
      <c r="AD280" s="30"/>
      <c r="AE280" s="30"/>
      <c r="AF280" s="28">
        <f>IFERROR(AF279/AF275,0)</f>
        <v>0</v>
      </c>
      <c r="AG280" s="30"/>
      <c r="AH280" s="30"/>
      <c r="AI280" s="28">
        <f>IFERROR(AI279/AI275,0)</f>
        <v>0</v>
      </c>
      <c r="AJ280" s="31"/>
      <c r="AK280" s="31"/>
      <c r="AL280" s="94">
        <f>IFERROR(AL279/AL275,0)</f>
        <v>0</v>
      </c>
    </row>
    <row r="281" spans="1:38" x14ac:dyDescent="0.25">
      <c r="A281" s="73" t="s">
        <v>62</v>
      </c>
      <c r="B281" s="6" t="s">
        <v>66</v>
      </c>
      <c r="C281" s="7" t="s">
        <v>39</v>
      </c>
      <c r="D281" s="8" t="s">
        <v>23</v>
      </c>
      <c r="E281" s="41">
        <f>+[1]L.KIRDAR!C536</f>
        <v>1473.76</v>
      </c>
      <c r="F281" s="42"/>
      <c r="G281" s="42"/>
      <c r="H281" s="43">
        <f>+[1]L.KIRDAR!F536</f>
        <v>934.93</v>
      </c>
      <c r="I281" s="43"/>
      <c r="J281" s="43"/>
      <c r="K281" s="43">
        <f>+[1]L.KIRDAR!I536</f>
        <v>2937.06</v>
      </c>
      <c r="L281" s="43"/>
      <c r="M281" s="43"/>
      <c r="N281" s="43">
        <f>+[1]L.KIRDAR!L536</f>
        <v>3087.59</v>
      </c>
      <c r="O281" s="43"/>
      <c r="P281" s="43"/>
      <c r="Q281" s="43">
        <f>+[1]L.KIRDAR!O536</f>
        <v>757.63</v>
      </c>
      <c r="R281" s="43"/>
      <c r="S281" s="43"/>
      <c r="T281" s="43">
        <f>+[1]L.KIRDAR!R536</f>
        <v>3060.64</v>
      </c>
      <c r="U281" s="43"/>
      <c r="V281" s="43"/>
      <c r="W281" s="43">
        <f>+[1]L.KIRDAR!U536</f>
        <v>2573</v>
      </c>
      <c r="X281" s="43"/>
      <c r="Y281" s="43"/>
      <c r="Z281" s="43">
        <f>+[1]L.KIRDAR!X536</f>
        <v>0</v>
      </c>
      <c r="AA281" s="43"/>
      <c r="AB281" s="43"/>
      <c r="AC281" s="43">
        <f>+[1]L.KIRDAR!AA536</f>
        <v>0</v>
      </c>
      <c r="AD281" s="43"/>
      <c r="AE281" s="43"/>
      <c r="AF281" s="43">
        <f>+[1]L.KIRDAR!AD536</f>
        <v>0</v>
      </c>
      <c r="AG281" s="43"/>
      <c r="AH281" s="43"/>
      <c r="AI281" s="43">
        <f>+[1]L.KIRDAR!AG536</f>
        <v>0</v>
      </c>
      <c r="AJ281" s="44"/>
      <c r="AK281" s="44"/>
      <c r="AL281" s="95">
        <f>+[1]L.KIRDAR!AJ536</f>
        <v>0</v>
      </c>
    </row>
    <row r="282" spans="1:38" x14ac:dyDescent="0.25">
      <c r="A282" s="73" t="s">
        <v>62</v>
      </c>
      <c r="B282" s="6" t="s">
        <v>66</v>
      </c>
      <c r="C282" s="7" t="s">
        <v>40</v>
      </c>
      <c r="D282" s="34" t="s">
        <v>23</v>
      </c>
      <c r="E282" s="45">
        <f>+[1]L.KIRDAR!C537</f>
        <v>371.87</v>
      </c>
      <c r="F282" s="46"/>
      <c r="G282" s="46"/>
      <c r="H282" s="47">
        <f>+[1]L.KIRDAR!F537</f>
        <v>232.41</v>
      </c>
      <c r="I282" s="47"/>
      <c r="J282" s="47"/>
      <c r="K282" s="47">
        <f>+[1]L.KIRDAR!I537</f>
        <v>759.65</v>
      </c>
      <c r="L282" s="47"/>
      <c r="M282" s="47"/>
      <c r="N282" s="47">
        <f>+[1]L.KIRDAR!L537</f>
        <v>663.63</v>
      </c>
      <c r="O282" s="47"/>
      <c r="P282" s="47"/>
      <c r="Q282" s="47">
        <f>+[1]L.KIRDAR!O537</f>
        <v>67.260000000000005</v>
      </c>
      <c r="R282" s="47"/>
      <c r="S282" s="47"/>
      <c r="T282" s="47">
        <f>+[1]L.KIRDAR!R537</f>
        <v>237.98</v>
      </c>
      <c r="U282" s="47"/>
      <c r="V282" s="47"/>
      <c r="W282" s="47">
        <f>+[1]L.KIRDAR!U537</f>
        <v>83.12</v>
      </c>
      <c r="X282" s="47"/>
      <c r="Y282" s="47"/>
      <c r="Z282" s="47">
        <f>+[1]L.KIRDAR!X537</f>
        <v>0</v>
      </c>
      <c r="AA282" s="47"/>
      <c r="AB282" s="47"/>
      <c r="AC282" s="47">
        <f>+[1]L.KIRDAR!AA537</f>
        <v>0</v>
      </c>
      <c r="AD282" s="47"/>
      <c r="AE282" s="47"/>
      <c r="AF282" s="47">
        <f>+[1]L.KIRDAR!AD537</f>
        <v>0</v>
      </c>
      <c r="AG282" s="47"/>
      <c r="AH282" s="47"/>
      <c r="AI282" s="47">
        <f>+[1]L.KIRDAR!AG537</f>
        <v>0</v>
      </c>
      <c r="AJ282" s="48"/>
      <c r="AK282" s="48"/>
      <c r="AL282" s="96">
        <f>+[1]L.KIRDAR!AJ537</f>
        <v>0</v>
      </c>
    </row>
    <row r="283" spans="1:38" x14ac:dyDescent="0.25">
      <c r="A283" s="73" t="s">
        <v>62</v>
      </c>
      <c r="B283" s="6" t="s">
        <v>66</v>
      </c>
      <c r="C283" s="7" t="s">
        <v>41</v>
      </c>
      <c r="D283" s="34" t="s">
        <v>23</v>
      </c>
      <c r="E283" s="45">
        <f>+[1]L.KIRDAR!C538</f>
        <v>269.12</v>
      </c>
      <c r="F283" s="46"/>
      <c r="G283" s="46"/>
      <c r="H283" s="47">
        <f>+[1]L.KIRDAR!F538</f>
        <v>196</v>
      </c>
      <c r="I283" s="47"/>
      <c r="J283" s="47"/>
      <c r="K283" s="47">
        <f>+[1]L.KIRDAR!I538</f>
        <v>788.34</v>
      </c>
      <c r="L283" s="47"/>
      <c r="M283" s="47"/>
      <c r="N283" s="47">
        <f>+[1]L.KIRDAR!L538</f>
        <v>896.6</v>
      </c>
      <c r="O283" s="47"/>
      <c r="P283" s="47"/>
      <c r="Q283" s="47">
        <f>+[1]L.KIRDAR!O538</f>
        <v>249.63</v>
      </c>
      <c r="R283" s="47"/>
      <c r="S283" s="47"/>
      <c r="T283" s="47">
        <f>+[1]L.KIRDAR!R538</f>
        <v>1539.9</v>
      </c>
      <c r="U283" s="47"/>
      <c r="V283" s="47"/>
      <c r="W283" s="47">
        <f>+[1]L.KIRDAR!U538</f>
        <v>513.72</v>
      </c>
      <c r="X283" s="47"/>
      <c r="Y283" s="47"/>
      <c r="Z283" s="47">
        <f>+[1]L.KIRDAR!X538</f>
        <v>0</v>
      </c>
      <c r="AA283" s="47"/>
      <c r="AB283" s="47"/>
      <c r="AC283" s="47">
        <f>+[1]L.KIRDAR!AA538</f>
        <v>0</v>
      </c>
      <c r="AD283" s="47"/>
      <c r="AE283" s="47"/>
      <c r="AF283" s="47">
        <f>+[1]L.KIRDAR!AD538</f>
        <v>0</v>
      </c>
      <c r="AG283" s="47"/>
      <c r="AH283" s="47"/>
      <c r="AI283" s="47">
        <f>+[1]L.KIRDAR!AG538</f>
        <v>0</v>
      </c>
      <c r="AJ283" s="48"/>
      <c r="AK283" s="48"/>
      <c r="AL283" s="96">
        <f>+[1]L.KIRDAR!AJ538</f>
        <v>0</v>
      </c>
    </row>
    <row r="284" spans="1:38" x14ac:dyDescent="0.25">
      <c r="A284" s="73" t="s">
        <v>62</v>
      </c>
      <c r="B284" s="6" t="s">
        <v>66</v>
      </c>
      <c r="C284" s="7" t="s">
        <v>42</v>
      </c>
      <c r="D284" s="34" t="s">
        <v>43</v>
      </c>
      <c r="E284" s="97">
        <v>0</v>
      </c>
      <c r="F284" s="98"/>
      <c r="G284" s="98"/>
      <c r="H284" s="99">
        <v>0</v>
      </c>
      <c r="I284" s="99"/>
      <c r="J284" s="99"/>
      <c r="K284" s="99">
        <v>0</v>
      </c>
      <c r="L284" s="99"/>
      <c r="M284" s="99"/>
      <c r="N284" s="99">
        <v>0</v>
      </c>
      <c r="O284" s="99"/>
      <c r="P284" s="99"/>
      <c r="Q284" s="99">
        <v>0</v>
      </c>
      <c r="R284" s="99"/>
      <c r="S284" s="99"/>
      <c r="T284" s="99">
        <v>0</v>
      </c>
      <c r="U284" s="99"/>
      <c r="V284" s="99"/>
      <c r="W284" s="99">
        <v>0</v>
      </c>
      <c r="X284" s="99"/>
      <c r="Y284" s="99"/>
      <c r="Z284" s="99">
        <v>0</v>
      </c>
      <c r="AA284" s="99"/>
      <c r="AB284" s="99"/>
      <c r="AC284" s="99">
        <v>0</v>
      </c>
      <c r="AD284" s="99"/>
      <c r="AE284" s="99"/>
      <c r="AF284" s="99">
        <v>0</v>
      </c>
      <c r="AG284" s="99"/>
      <c r="AH284" s="99"/>
      <c r="AI284" s="99">
        <v>0</v>
      </c>
      <c r="AJ284" s="100"/>
      <c r="AK284" s="100"/>
      <c r="AL284" s="101">
        <v>0</v>
      </c>
    </row>
    <row r="285" spans="1:38" x14ac:dyDescent="0.25">
      <c r="A285" s="73" t="s">
        <v>62</v>
      </c>
      <c r="B285" s="6" t="s">
        <v>66</v>
      </c>
      <c r="C285" s="7" t="s">
        <v>44</v>
      </c>
      <c r="D285" s="34" t="s">
        <v>45</v>
      </c>
      <c r="E285" s="102">
        <v>0</v>
      </c>
      <c r="F285" s="103"/>
      <c r="G285" s="103"/>
      <c r="H285" s="104">
        <v>0</v>
      </c>
      <c r="I285" s="104"/>
      <c r="J285" s="104"/>
      <c r="K285" s="104">
        <v>0</v>
      </c>
      <c r="L285" s="104"/>
      <c r="M285" s="104"/>
      <c r="N285" s="104">
        <v>0</v>
      </c>
      <c r="O285" s="104"/>
      <c r="P285" s="104"/>
      <c r="Q285" s="104">
        <v>0</v>
      </c>
      <c r="R285" s="104"/>
      <c r="S285" s="104"/>
      <c r="T285" s="104">
        <v>0</v>
      </c>
      <c r="U285" s="104"/>
      <c r="V285" s="104"/>
      <c r="W285" s="104">
        <v>0</v>
      </c>
      <c r="X285" s="104"/>
      <c r="Y285" s="104"/>
      <c r="Z285" s="104">
        <v>0</v>
      </c>
      <c r="AA285" s="104"/>
      <c r="AB285" s="104"/>
      <c r="AC285" s="104">
        <v>0</v>
      </c>
      <c r="AD285" s="104"/>
      <c r="AE285" s="104"/>
      <c r="AF285" s="104">
        <v>0</v>
      </c>
      <c r="AG285" s="104"/>
      <c r="AH285" s="104"/>
      <c r="AI285" s="104">
        <v>0</v>
      </c>
      <c r="AJ285" s="105"/>
      <c r="AK285" s="105"/>
      <c r="AL285" s="106">
        <v>0</v>
      </c>
    </row>
    <row r="286" spans="1:38" x14ac:dyDescent="0.25">
      <c r="A286" s="73" t="s">
        <v>62</v>
      </c>
      <c r="B286" s="6" t="s">
        <v>66</v>
      </c>
      <c r="C286" s="7" t="s">
        <v>46</v>
      </c>
      <c r="D286" s="34" t="s">
        <v>45</v>
      </c>
      <c r="E286" s="107">
        <v>0</v>
      </c>
      <c r="F286" s="108"/>
      <c r="G286" s="108"/>
      <c r="H286" s="109">
        <v>0</v>
      </c>
      <c r="I286" s="109"/>
      <c r="J286" s="109"/>
      <c r="K286" s="109">
        <v>0</v>
      </c>
      <c r="L286" s="109"/>
      <c r="M286" s="109"/>
      <c r="N286" s="109">
        <v>0</v>
      </c>
      <c r="O286" s="109"/>
      <c r="P286" s="109"/>
      <c r="Q286" s="109">
        <v>0</v>
      </c>
      <c r="R286" s="109"/>
      <c r="S286" s="109"/>
      <c r="T286" s="109">
        <v>0</v>
      </c>
      <c r="U286" s="109"/>
      <c r="V286" s="109"/>
      <c r="W286" s="109">
        <v>0</v>
      </c>
      <c r="X286" s="109"/>
      <c r="Y286" s="109"/>
      <c r="Z286" s="109">
        <v>0</v>
      </c>
      <c r="AA286" s="109"/>
      <c r="AB286" s="109"/>
      <c r="AC286" s="109">
        <v>0</v>
      </c>
      <c r="AD286" s="109"/>
      <c r="AE286" s="109"/>
      <c r="AF286" s="109">
        <v>0</v>
      </c>
      <c r="AG286" s="109"/>
      <c r="AH286" s="109"/>
      <c r="AI286" s="109">
        <v>0</v>
      </c>
      <c r="AJ286" s="110"/>
      <c r="AK286" s="110"/>
      <c r="AL286" s="111">
        <v>0</v>
      </c>
    </row>
    <row r="287" spans="1:38" x14ac:dyDescent="0.25">
      <c r="A287" s="73" t="s">
        <v>62</v>
      </c>
      <c r="B287" s="6" t="s">
        <v>66</v>
      </c>
      <c r="C287" s="7" t="s">
        <v>47</v>
      </c>
      <c r="D287" s="8" t="s">
        <v>23</v>
      </c>
      <c r="E287" s="49">
        <f>IFERROR(+E281/E284,0)</f>
        <v>0</v>
      </c>
      <c r="F287" s="50"/>
      <c r="G287" s="50"/>
      <c r="H287" s="51">
        <f>IFERROR(+H281/H284,0)</f>
        <v>0</v>
      </c>
      <c r="I287" s="52"/>
      <c r="J287" s="52"/>
      <c r="K287" s="51">
        <f>IFERROR(+K281/K284,0)</f>
        <v>0</v>
      </c>
      <c r="L287" s="52"/>
      <c r="M287" s="52"/>
      <c r="N287" s="51">
        <f>IFERROR(+N281/N284,0)</f>
        <v>0</v>
      </c>
      <c r="O287" s="52"/>
      <c r="P287" s="52"/>
      <c r="Q287" s="51">
        <f>IFERROR(+Q281/Q284,0)</f>
        <v>0</v>
      </c>
      <c r="R287" s="52"/>
      <c r="S287" s="52"/>
      <c r="T287" s="51">
        <f>IFERROR(+T281/T284,0)</f>
        <v>0</v>
      </c>
      <c r="U287" s="52"/>
      <c r="V287" s="52"/>
      <c r="W287" s="51">
        <f>IFERROR(+W281/W284,0)</f>
        <v>0</v>
      </c>
      <c r="X287" s="52"/>
      <c r="Y287" s="52"/>
      <c r="Z287" s="51">
        <f>IFERROR(+Z281/Z284,0)</f>
        <v>0</v>
      </c>
      <c r="AA287" s="52"/>
      <c r="AB287" s="52"/>
      <c r="AC287" s="51">
        <f>IFERROR(+AC281/AC284,0)</f>
        <v>0</v>
      </c>
      <c r="AD287" s="52"/>
      <c r="AE287" s="52"/>
      <c r="AF287" s="51">
        <f>IFERROR(+AF281/AF284,0)</f>
        <v>0</v>
      </c>
      <c r="AG287" s="52"/>
      <c r="AH287" s="52"/>
      <c r="AI287" s="51">
        <f>IFERROR(+AI281/AI284,0)</f>
        <v>0</v>
      </c>
      <c r="AJ287" s="53"/>
      <c r="AK287" s="53"/>
      <c r="AL287" s="112">
        <f>IFERROR(+AL281/AL284,0)</f>
        <v>0</v>
      </c>
    </row>
    <row r="288" spans="1:38" x14ac:dyDescent="0.25">
      <c r="A288" s="73" t="s">
        <v>62</v>
      </c>
      <c r="B288" s="6" t="s">
        <v>66</v>
      </c>
      <c r="C288" s="7" t="s">
        <v>48</v>
      </c>
      <c r="D288" s="34" t="s">
        <v>23</v>
      </c>
      <c r="E288" s="49">
        <f>IFERROR(+E282/E285,0)</f>
        <v>0</v>
      </c>
      <c r="F288" s="50"/>
      <c r="G288" s="50"/>
      <c r="H288" s="51">
        <f>IFERROR(+H282/H285,0)</f>
        <v>0</v>
      </c>
      <c r="I288" s="52"/>
      <c r="J288" s="52"/>
      <c r="K288" s="51">
        <f>IFERROR(+K282/K285,0)</f>
        <v>0</v>
      </c>
      <c r="L288" s="52"/>
      <c r="M288" s="52"/>
      <c r="N288" s="51">
        <f>IFERROR(+N282/N285,0)</f>
        <v>0</v>
      </c>
      <c r="O288" s="52"/>
      <c r="P288" s="52"/>
      <c r="Q288" s="51">
        <f>IFERROR(+Q282/Q285,0)</f>
        <v>0</v>
      </c>
      <c r="R288" s="52"/>
      <c r="S288" s="52"/>
      <c r="T288" s="51">
        <f>IFERROR(+T282/T285,0)</f>
        <v>0</v>
      </c>
      <c r="U288" s="52"/>
      <c r="V288" s="52"/>
      <c r="W288" s="51">
        <f>IFERROR(+W282/W285,0)</f>
        <v>0</v>
      </c>
      <c r="X288" s="52"/>
      <c r="Y288" s="52"/>
      <c r="Z288" s="51">
        <f>IFERROR(+Z282/Z285,0)</f>
        <v>0</v>
      </c>
      <c r="AA288" s="52"/>
      <c r="AB288" s="52"/>
      <c r="AC288" s="51">
        <f>IFERROR(+AC282/AC285,0)</f>
        <v>0</v>
      </c>
      <c r="AD288" s="52"/>
      <c r="AE288" s="52"/>
      <c r="AF288" s="51">
        <f>IFERROR(+AF282/AF285,0)</f>
        <v>0</v>
      </c>
      <c r="AG288" s="52"/>
      <c r="AH288" s="52"/>
      <c r="AI288" s="51">
        <f>IFERROR(+AI282/AI285,0)</f>
        <v>0</v>
      </c>
      <c r="AJ288" s="53"/>
      <c r="AK288" s="53"/>
      <c r="AL288" s="112">
        <f>IFERROR(+AL282/AL285,0)</f>
        <v>0</v>
      </c>
    </row>
    <row r="289" spans="1:38" x14ac:dyDescent="0.25">
      <c r="A289" s="73" t="s">
        <v>62</v>
      </c>
      <c r="B289" s="6" t="s">
        <v>66</v>
      </c>
      <c r="C289" s="7" t="s">
        <v>49</v>
      </c>
      <c r="D289" s="34" t="s">
        <v>23</v>
      </c>
      <c r="E289" s="54">
        <f>IFERROR(+E283/E286,0)</f>
        <v>0</v>
      </c>
      <c r="F289" s="55"/>
      <c r="G289" s="55"/>
      <c r="H289" s="56">
        <f>IFERROR(+H283/H286,0)</f>
        <v>0</v>
      </c>
      <c r="I289" s="57"/>
      <c r="J289" s="57"/>
      <c r="K289" s="56">
        <f>IFERROR(+K283/K286,0)</f>
        <v>0</v>
      </c>
      <c r="L289" s="57"/>
      <c r="M289" s="57"/>
      <c r="N289" s="56">
        <f>IFERROR(+N283/N286,0)</f>
        <v>0</v>
      </c>
      <c r="O289" s="57"/>
      <c r="P289" s="57"/>
      <c r="Q289" s="56">
        <f>IFERROR(+Q283/Q286,0)</f>
        <v>0</v>
      </c>
      <c r="R289" s="57"/>
      <c r="S289" s="57"/>
      <c r="T289" s="56">
        <f>IFERROR(+T283/T286,0)</f>
        <v>0</v>
      </c>
      <c r="U289" s="57"/>
      <c r="V289" s="57"/>
      <c r="W289" s="56">
        <f>IFERROR(+W283/W286,0)</f>
        <v>0</v>
      </c>
      <c r="X289" s="57"/>
      <c r="Y289" s="57"/>
      <c r="Z289" s="56">
        <f>IFERROR(+Z283/Z286,0)</f>
        <v>0</v>
      </c>
      <c r="AA289" s="57"/>
      <c r="AB289" s="57"/>
      <c r="AC289" s="56">
        <f>IFERROR(+AC283/AC286,0)</f>
        <v>0</v>
      </c>
      <c r="AD289" s="57"/>
      <c r="AE289" s="57"/>
      <c r="AF289" s="56">
        <f>IFERROR(+AF283/AF286,0)</f>
        <v>0</v>
      </c>
      <c r="AG289" s="57"/>
      <c r="AH289" s="57"/>
      <c r="AI289" s="56">
        <f>IFERROR(+AI283/AI286,0)</f>
        <v>0</v>
      </c>
      <c r="AJ289" s="58"/>
      <c r="AK289" s="58"/>
      <c r="AL289" s="113">
        <f>IFERROR(+AL283/AL286,0)</f>
        <v>0</v>
      </c>
    </row>
    <row r="290" spans="1:38" x14ac:dyDescent="0.25">
      <c r="A290" s="73" t="s">
        <v>62</v>
      </c>
      <c r="B290" s="6" t="s">
        <v>66</v>
      </c>
      <c r="C290" s="7" t="s">
        <v>50</v>
      </c>
      <c r="D290" s="8" t="s">
        <v>23</v>
      </c>
      <c r="E290" s="59">
        <f>+[1]L.KIRDAR!C563</f>
        <v>5981.09</v>
      </c>
      <c r="F290" s="60"/>
      <c r="G290" s="60"/>
      <c r="H290" s="61">
        <f>+[1]L.KIRDAR!F563</f>
        <v>3393.75</v>
      </c>
      <c r="I290" s="61"/>
      <c r="J290" s="61"/>
      <c r="K290" s="61">
        <f>+[1]L.KIRDAR!I563</f>
        <v>10720.74</v>
      </c>
      <c r="L290" s="61"/>
      <c r="M290" s="61"/>
      <c r="N290" s="61">
        <f>+[1]L.KIRDAR!L563</f>
        <v>21426.16</v>
      </c>
      <c r="O290" s="61"/>
      <c r="P290" s="61"/>
      <c r="Q290" s="61">
        <f>+[1]L.KIRDAR!O563</f>
        <v>13806.1</v>
      </c>
      <c r="R290" s="61"/>
      <c r="S290" s="61"/>
      <c r="T290" s="61">
        <f>+[1]L.KIRDAR!R563</f>
        <v>90704.34</v>
      </c>
      <c r="U290" s="61"/>
      <c r="V290" s="61"/>
      <c r="W290" s="61">
        <f>+[1]L.KIRDAR!U563</f>
        <v>8122.22</v>
      </c>
      <c r="X290" s="61"/>
      <c r="Y290" s="61"/>
      <c r="Z290" s="61">
        <f>+[1]L.KIRDAR!X563</f>
        <v>0</v>
      </c>
      <c r="AA290" s="61"/>
      <c r="AB290" s="61"/>
      <c r="AC290" s="61">
        <f>+[1]L.KIRDAR!AA563</f>
        <v>0</v>
      </c>
      <c r="AD290" s="61"/>
      <c r="AE290" s="61"/>
      <c r="AF290" s="61">
        <f>+[1]L.KIRDAR!AD563</f>
        <v>0</v>
      </c>
      <c r="AG290" s="61"/>
      <c r="AH290" s="61"/>
      <c r="AI290" s="61">
        <f>+[1]L.KIRDAR!AG563</f>
        <v>0</v>
      </c>
      <c r="AJ290" s="62"/>
      <c r="AK290" s="62"/>
      <c r="AL290" s="114">
        <f>+[1]L.KIRDAR!AJ563</f>
        <v>0</v>
      </c>
    </row>
    <row r="291" spans="1:38" x14ac:dyDescent="0.25">
      <c r="A291" s="73" t="s">
        <v>62</v>
      </c>
      <c r="B291" s="6" t="s">
        <v>66</v>
      </c>
      <c r="C291" s="7" t="s">
        <v>51</v>
      </c>
      <c r="D291" s="8" t="s">
        <v>20</v>
      </c>
      <c r="E291" s="9"/>
      <c r="F291" s="10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2"/>
      <c r="AK291" s="12"/>
      <c r="AL291" s="74"/>
    </row>
    <row r="292" spans="1:38" x14ac:dyDescent="0.25">
      <c r="A292" s="85" t="s">
        <v>62</v>
      </c>
      <c r="B292" s="32" t="s">
        <v>66</v>
      </c>
      <c r="C292" s="33" t="s">
        <v>52</v>
      </c>
      <c r="D292" s="34" t="s">
        <v>23</v>
      </c>
      <c r="E292" s="24">
        <f>+[1]L.KIRDAR!C571</f>
        <v>7214.27155531469</v>
      </c>
      <c r="F292" s="25"/>
      <c r="G292" s="25"/>
      <c r="H292" s="26">
        <f>+[1]L.KIRDAR!F571</f>
        <v>4384.5590366312845</v>
      </c>
      <c r="I292" s="26"/>
      <c r="J292" s="26"/>
      <c r="K292" s="26">
        <f>+[1]L.KIRDAR!I571</f>
        <v>14859.046835155506</v>
      </c>
      <c r="L292" s="26"/>
      <c r="M292" s="26"/>
      <c r="N292" s="26">
        <f>+[1]L.KIRDAR!L571</f>
        <v>20502.146505552795</v>
      </c>
      <c r="O292" s="26"/>
      <c r="P292" s="26"/>
      <c r="Q292" s="26">
        <f>+[1]L.KIRDAR!O571</f>
        <v>9332.1336094894341</v>
      </c>
      <c r="R292" s="26"/>
      <c r="S292" s="26"/>
      <c r="T292" s="26">
        <f>+[1]L.KIRDAR!R571</f>
        <v>45069.668554135787</v>
      </c>
      <c r="U292" s="26"/>
      <c r="V292" s="26"/>
      <c r="W292" s="26">
        <f>+[1]L.KIRDAR!U571</f>
        <v>7427.4776223146637</v>
      </c>
      <c r="X292" s="26"/>
      <c r="Y292" s="26"/>
      <c r="Z292" s="26">
        <f>+[1]L.KIRDAR!X571</f>
        <v>0</v>
      </c>
      <c r="AA292" s="26"/>
      <c r="AB292" s="26"/>
      <c r="AC292" s="26">
        <f>+[1]L.KIRDAR!AA571</f>
        <v>0</v>
      </c>
      <c r="AD292" s="26"/>
      <c r="AE292" s="26"/>
      <c r="AF292" s="26">
        <f>+[1]L.KIRDAR!AD571</f>
        <v>0</v>
      </c>
      <c r="AG292" s="26"/>
      <c r="AH292" s="26"/>
      <c r="AI292" s="26">
        <f>+[1]L.KIRDAR!AG571</f>
        <v>0</v>
      </c>
      <c r="AJ292" s="27"/>
      <c r="AK292" s="27"/>
      <c r="AL292" s="78">
        <f>+[1]L.KIRDAR!AJ571</f>
        <v>0</v>
      </c>
    </row>
    <row r="293" spans="1:38" x14ac:dyDescent="0.25">
      <c r="A293" s="85" t="s">
        <v>62</v>
      </c>
      <c r="B293" s="32" t="s">
        <v>66</v>
      </c>
      <c r="C293" s="33" t="s">
        <v>53</v>
      </c>
      <c r="D293" s="34" t="s">
        <v>23</v>
      </c>
      <c r="E293" s="28">
        <f>+[1]L.KIRDAR!C580-[1]L.KIRDAR!C513-[1]L.KIRDAR!C518-[1]L.KIRDAR!C535-[1]L.KIRDAR!C563-[1]L.KIRDAR!C571</f>
        <v>10446.660000000009</v>
      </c>
      <c r="F293" s="29"/>
      <c r="G293" s="29"/>
      <c r="H293" s="30">
        <f>+[1]L.KIRDAR!F580-[1]L.KIRDAR!F513-[1]L.KIRDAR!F518-[1]L.KIRDAR!F535-[1]L.KIRDAR!F563-[1]L.KIRDAR!F571</f>
        <v>15209.539999999995</v>
      </c>
      <c r="I293" s="30"/>
      <c r="J293" s="30"/>
      <c r="K293" s="30">
        <f>+[1]L.KIRDAR!I580-[1]L.KIRDAR!I513-[1]L.KIRDAR!I518-[1]L.KIRDAR!I535-[1]L.KIRDAR!I563-[1]L.KIRDAR!I571</f>
        <v>53490.349999999962</v>
      </c>
      <c r="L293" s="30"/>
      <c r="M293" s="30"/>
      <c r="N293" s="30">
        <f>+[1]L.KIRDAR!L580-[1]L.KIRDAR!L513-[1]L.KIRDAR!L518-[1]L.KIRDAR!L535-[1]L.KIRDAR!L563-[1]L.KIRDAR!L571</f>
        <v>98635.720000000016</v>
      </c>
      <c r="O293" s="30"/>
      <c r="P293" s="30"/>
      <c r="Q293" s="30">
        <f>+[1]L.KIRDAR!O580-[1]L.KIRDAR!O513-[1]L.KIRDAR!O518-[1]L.KIRDAR!O535-[1]L.KIRDAR!O563-[1]L.KIRDAR!O571</f>
        <v>53248.950000000004</v>
      </c>
      <c r="R293" s="30"/>
      <c r="S293" s="30"/>
      <c r="T293" s="30">
        <f>+[1]L.KIRDAR!R580-[1]L.KIRDAR!R513-[1]L.KIRDAR!R518-[1]L.KIRDAR!R535-[1]L.KIRDAR!R563-[1]L.KIRDAR!R571</f>
        <v>35956.989999999976</v>
      </c>
      <c r="U293" s="30"/>
      <c r="V293" s="30"/>
      <c r="W293" s="30">
        <f>+[1]L.KIRDAR!U580-[1]L.KIRDAR!U513-[1]L.KIRDAR!U518-[1]L.KIRDAR!U535-[1]L.KIRDAR!U563-[1]L.KIRDAR!U571</f>
        <v>54561.720000000016</v>
      </c>
      <c r="X293" s="30"/>
      <c r="Y293" s="30"/>
      <c r="Z293" s="30">
        <f>+[1]L.KIRDAR!X580-[1]L.KIRDAR!X513-[1]L.KIRDAR!X518-[1]L.KIRDAR!X535-[1]L.KIRDAR!X563-[1]L.KIRDAR!X571</f>
        <v>0</v>
      </c>
      <c r="AA293" s="30"/>
      <c r="AB293" s="30"/>
      <c r="AC293" s="30">
        <f>+[1]L.KIRDAR!AA580-[1]L.KIRDAR!AA513-[1]L.KIRDAR!AA518-[1]L.KIRDAR!AA535-[1]L.KIRDAR!AA563-[1]L.KIRDAR!AA571</f>
        <v>0</v>
      </c>
      <c r="AD293" s="30"/>
      <c r="AE293" s="30"/>
      <c r="AF293" s="30">
        <f>+[1]L.KIRDAR!AD580-[1]L.KIRDAR!AD513-[1]L.KIRDAR!AD518-[1]L.KIRDAR!AD535-[1]L.KIRDAR!AD563-[1]L.KIRDAR!AD571</f>
        <v>0</v>
      </c>
      <c r="AG293" s="30"/>
      <c r="AH293" s="30"/>
      <c r="AI293" s="30">
        <f>+[1]L.KIRDAR!AG580-[1]L.KIRDAR!AG513-[1]L.KIRDAR!AG518-[1]L.KIRDAR!AG535-[1]L.KIRDAR!AG563-[1]L.KIRDAR!AG571</f>
        <v>0</v>
      </c>
      <c r="AJ293" s="31"/>
      <c r="AK293" s="31"/>
      <c r="AL293" s="79">
        <f>+[1]L.KIRDAR!AJ580-[1]L.KIRDAR!AJ513-[1]L.KIRDAR!AJ518-[1]L.KIRDAR!AJ535-[1]L.KIRDAR!AJ563-[1]L.KIRDAR!AJ571</f>
        <v>0</v>
      </c>
    </row>
    <row r="294" spans="1:38" x14ac:dyDescent="0.25">
      <c r="A294" s="85" t="s">
        <v>62</v>
      </c>
      <c r="B294" s="32" t="s">
        <v>66</v>
      </c>
      <c r="C294" s="33" t="s">
        <v>54</v>
      </c>
      <c r="D294" s="34" t="s">
        <v>23</v>
      </c>
      <c r="E294" s="59">
        <f>+E269+E270+E279+E281+E282+E283+E290+E292+E293</f>
        <v>118746.22155531467</v>
      </c>
      <c r="F294" s="60"/>
      <c r="G294" s="60"/>
      <c r="H294" s="61">
        <f>+H269+H270+H279+H281+H282+H283+H290+H292+H293</f>
        <v>138165.74903663128</v>
      </c>
      <c r="I294" s="61"/>
      <c r="J294" s="61"/>
      <c r="K294" s="61">
        <f>+K269+K270+K279+K281+K282+K283+K290+K292+K293</f>
        <v>272372.08318731189</v>
      </c>
      <c r="L294" s="61"/>
      <c r="M294" s="61"/>
      <c r="N294" s="61">
        <f>+N269+N270+N279+N281+N282+N283+N290+N292+N293</f>
        <v>270299.92857629829</v>
      </c>
      <c r="O294" s="61"/>
      <c r="P294" s="61"/>
      <c r="Q294" s="61">
        <f>+Q269+Q270+Q279+Q281+Q282+Q283+Q290+Q292+Q293</f>
        <v>98765.893609489445</v>
      </c>
      <c r="R294" s="61"/>
      <c r="S294" s="61"/>
      <c r="T294" s="61">
        <f>+T269+T270+T279+T281+T282+T283+T290+T292+T293</f>
        <v>350255.37855413574</v>
      </c>
      <c r="U294" s="61"/>
      <c r="V294" s="61"/>
      <c r="W294" s="61">
        <f>+W269+W270+W279+W281+W282+W283+W290+W292+W293</f>
        <v>152046.19762231468</v>
      </c>
      <c r="X294" s="61"/>
      <c r="Y294" s="61"/>
      <c r="Z294" s="61">
        <f>+Z269+Z270+Z279+Z281+Z282+Z283+Z290+Z292+Z293</f>
        <v>0</v>
      </c>
      <c r="AA294" s="61"/>
      <c r="AB294" s="61"/>
      <c r="AC294" s="61">
        <f>+AC269+AC270+AC279+AC281+AC282+AC283+AC290+AC292+AC293</f>
        <v>0</v>
      </c>
      <c r="AD294" s="61"/>
      <c r="AE294" s="61"/>
      <c r="AF294" s="61">
        <f>+AF269+AF270+AF279+AF281+AF282+AF283+AF290+AF292+AF293</f>
        <v>0</v>
      </c>
      <c r="AG294" s="61"/>
      <c r="AH294" s="61"/>
      <c r="AI294" s="61">
        <f>+AI269+AI270+AI279+AI281+AI282+AI283+AI290+AI292+AI293</f>
        <v>0</v>
      </c>
      <c r="AJ294" s="62"/>
      <c r="AK294" s="62"/>
      <c r="AL294" s="114">
        <f>+AL269+AL270+AL279+AL281+AL282+AL283+AL290+AL292+AL293</f>
        <v>0</v>
      </c>
    </row>
    <row r="295" spans="1:38" ht="15.75" thickBot="1" x14ac:dyDescent="0.3">
      <c r="A295" s="115" t="s">
        <v>62</v>
      </c>
      <c r="B295" s="116" t="s">
        <v>66</v>
      </c>
      <c r="C295" s="117" t="s">
        <v>55</v>
      </c>
      <c r="D295" s="118" t="s">
        <v>23</v>
      </c>
      <c r="E295" s="119">
        <f>+E294-[1]L.KIRDAR!C580</f>
        <v>0</v>
      </c>
      <c r="F295" s="120"/>
      <c r="G295" s="120"/>
      <c r="H295" s="121">
        <f>+H294-[1]L.KIRDAR!F580</f>
        <v>0</v>
      </c>
      <c r="I295" s="121"/>
      <c r="J295" s="121"/>
      <c r="K295" s="121">
        <f>+K294-[1]L.KIRDAR!I580</f>
        <v>0</v>
      </c>
      <c r="L295" s="121"/>
      <c r="M295" s="121"/>
      <c r="N295" s="121">
        <f>+N294-[1]L.KIRDAR!L580</f>
        <v>0</v>
      </c>
      <c r="O295" s="121"/>
      <c r="P295" s="121"/>
      <c r="Q295" s="121">
        <f>+Q294-[1]L.KIRDAR!O580</f>
        <v>0</v>
      </c>
      <c r="R295" s="121"/>
      <c r="S295" s="121"/>
      <c r="T295" s="121">
        <f>+T294-[1]L.KIRDAR!R580</f>
        <v>0</v>
      </c>
      <c r="U295" s="121"/>
      <c r="V295" s="121"/>
      <c r="W295" s="121">
        <f>+W294-[1]L.KIRDAR!U580</f>
        <v>0</v>
      </c>
      <c r="X295" s="121"/>
      <c r="Y295" s="121"/>
      <c r="Z295" s="121">
        <f>+Z294-[1]L.KIRDAR!X580</f>
        <v>0</v>
      </c>
      <c r="AA295" s="121"/>
      <c r="AB295" s="121"/>
      <c r="AC295" s="121">
        <f>+AC294-[1]L.KIRDAR!AA580</f>
        <v>0</v>
      </c>
      <c r="AD295" s="121"/>
      <c r="AE295" s="121"/>
      <c r="AF295" s="121">
        <f>+AF294-[1]L.KIRDAR!AD580</f>
        <v>0</v>
      </c>
      <c r="AG295" s="121"/>
      <c r="AH295" s="121"/>
      <c r="AI295" s="121">
        <f>+AI294-[1]L.KIRDAR!AG580</f>
        <v>0</v>
      </c>
      <c r="AJ295" s="122"/>
      <c r="AK295" s="122"/>
      <c r="AL295" s="123">
        <f>+AL294-[1]L.KIRDAR!AJ580</f>
        <v>0</v>
      </c>
    </row>
    <row r="296" spans="1:38" x14ac:dyDescent="0.25">
      <c r="A296" s="64" t="s">
        <v>67</v>
      </c>
      <c r="B296" s="65" t="s">
        <v>68</v>
      </c>
      <c r="C296" s="66" t="s">
        <v>19</v>
      </c>
      <c r="D296" s="67" t="s">
        <v>20</v>
      </c>
      <c r="E296" s="68">
        <f>+[1]I.MODERN!C206</f>
        <v>2846</v>
      </c>
      <c r="F296" s="69"/>
      <c r="G296" s="69"/>
      <c r="H296" s="70">
        <f>+[1]I.MODERN!F206</f>
        <v>2492</v>
      </c>
      <c r="I296" s="70"/>
      <c r="J296" s="70"/>
      <c r="K296" s="70">
        <f>+[1]I.MODERN!I206</f>
        <v>2981</v>
      </c>
      <c r="L296" s="70"/>
      <c r="M296" s="70"/>
      <c r="N296" s="70">
        <f>+[1]I.MODERN!L206</f>
        <v>3721</v>
      </c>
      <c r="O296" s="70"/>
      <c r="P296" s="70"/>
      <c r="Q296" s="70">
        <f>+[1]I.MODERN!O206</f>
        <v>3576</v>
      </c>
      <c r="R296" s="70"/>
      <c r="S296" s="70"/>
      <c r="T296" s="70">
        <f>+[1]I.MODERN!R206</f>
        <v>2893</v>
      </c>
      <c r="U296" s="70"/>
      <c r="V296" s="70"/>
      <c r="W296" s="70">
        <f>+[1]I.MODERN!U206</f>
        <v>2751</v>
      </c>
      <c r="X296" s="70"/>
      <c r="Y296" s="70"/>
      <c r="Z296" s="70">
        <f>+[1]I.MODERN!X206</f>
        <v>0</v>
      </c>
      <c r="AA296" s="70"/>
      <c r="AB296" s="70"/>
      <c r="AC296" s="70">
        <f>+[1]I.MODERN!AA206</f>
        <v>0</v>
      </c>
      <c r="AD296" s="70"/>
      <c r="AE296" s="70"/>
      <c r="AF296" s="70">
        <f>+[1]I.MODERN!AD206</f>
        <v>0</v>
      </c>
      <c r="AG296" s="70"/>
      <c r="AH296" s="70"/>
      <c r="AI296" s="70">
        <f>+[1]I.MODERN!AG206</f>
        <v>0</v>
      </c>
      <c r="AJ296" s="71"/>
      <c r="AK296" s="71"/>
      <c r="AL296" s="72">
        <f>+[1]I.MODERN!AJ206</f>
        <v>0</v>
      </c>
    </row>
    <row r="297" spans="1:38" x14ac:dyDescent="0.25">
      <c r="A297" s="73" t="s">
        <v>67</v>
      </c>
      <c r="B297" s="6" t="s">
        <v>68</v>
      </c>
      <c r="C297" s="7" t="s">
        <v>21</v>
      </c>
      <c r="D297" s="8" t="s">
        <v>20</v>
      </c>
      <c r="E297" s="9"/>
      <c r="F297" s="10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2"/>
      <c r="AK297" s="12"/>
      <c r="AL297" s="74"/>
    </row>
    <row r="298" spans="1:38" x14ac:dyDescent="0.25">
      <c r="A298" s="73" t="s">
        <v>67</v>
      </c>
      <c r="B298" s="6" t="s">
        <v>68</v>
      </c>
      <c r="C298" s="7" t="s">
        <v>22</v>
      </c>
      <c r="D298" s="8" t="s">
        <v>23</v>
      </c>
      <c r="E298" s="13">
        <f>+[1]I.MODERN!C201</f>
        <v>2578007.3400000008</v>
      </c>
      <c r="F298" s="14"/>
      <c r="G298" s="14"/>
      <c r="H298" s="15">
        <f>+[1]I.MODERN!F201</f>
        <v>2842437.8800000031</v>
      </c>
      <c r="I298" s="14"/>
      <c r="J298" s="14"/>
      <c r="K298" s="13">
        <f>+[1]I.MODERN!I201</f>
        <v>2480785.0300000012</v>
      </c>
      <c r="L298" s="14"/>
      <c r="M298" s="14"/>
      <c r="N298" s="15">
        <f>+[1]I.MODERN!L201</f>
        <v>3431738.6099999989</v>
      </c>
      <c r="O298" s="15"/>
      <c r="P298" s="15"/>
      <c r="Q298" s="15">
        <f>+[1]I.MODERN!O201</f>
        <v>3403978.3899999959</v>
      </c>
      <c r="R298" s="15"/>
      <c r="S298" s="15"/>
      <c r="T298" s="15">
        <f>+[1]I.MODERN!R201</f>
        <v>3187031.8999999948</v>
      </c>
      <c r="U298" s="15"/>
      <c r="V298" s="15"/>
      <c r="W298" s="15">
        <f>+[1]I.MODERN!U201</f>
        <v>3023745.8999999971</v>
      </c>
      <c r="X298" s="15"/>
      <c r="Y298" s="15"/>
      <c r="Z298" s="15">
        <f>+[1]I.MODERN!X201</f>
        <v>0</v>
      </c>
      <c r="AA298" s="15"/>
      <c r="AB298" s="15"/>
      <c r="AC298" s="15">
        <f>+[1]I.MODERN!AA201</f>
        <v>0</v>
      </c>
      <c r="AD298" s="15"/>
      <c r="AE298" s="15"/>
      <c r="AF298" s="15">
        <f>+[1]I.MODERN!AD201</f>
        <v>0</v>
      </c>
      <c r="AG298" s="15"/>
      <c r="AH298" s="15"/>
      <c r="AI298" s="15">
        <f>+[1]I.MODERN!AG201</f>
        <v>0</v>
      </c>
      <c r="AJ298" s="16"/>
      <c r="AK298" s="16"/>
      <c r="AL298" s="75">
        <f>+[1]I.MODERN!AJ201</f>
        <v>0</v>
      </c>
    </row>
    <row r="299" spans="1:38" x14ac:dyDescent="0.25">
      <c r="A299" s="73" t="s">
        <v>67</v>
      </c>
      <c r="B299" s="6" t="s">
        <v>68</v>
      </c>
      <c r="C299" s="7" t="s">
        <v>24</v>
      </c>
      <c r="D299" s="8" t="s">
        <v>23</v>
      </c>
      <c r="E299" s="13">
        <f>+[1]I.MODERN!C202</f>
        <v>1359871.8700000013</v>
      </c>
      <c r="F299" s="17"/>
      <c r="G299" s="17"/>
      <c r="H299" s="18">
        <f>+[1]I.MODERN!F202</f>
        <v>1415977.870000002</v>
      </c>
      <c r="I299" s="18"/>
      <c r="J299" s="18"/>
      <c r="K299" s="18">
        <f>+[1]I.MODERN!I202</f>
        <v>1334498.5400000007</v>
      </c>
      <c r="L299" s="18"/>
      <c r="M299" s="18"/>
      <c r="N299" s="18">
        <f>+[1]I.MODERN!L202</f>
        <v>1840532.0700000012</v>
      </c>
      <c r="O299" s="18"/>
      <c r="P299" s="18"/>
      <c r="Q299" s="18">
        <f>+[1]I.MODERN!O202</f>
        <v>2059219.3599999999</v>
      </c>
      <c r="R299" s="18"/>
      <c r="S299" s="18"/>
      <c r="T299" s="18">
        <f>+[1]I.MODERN!R202</f>
        <v>1627603.6600000001</v>
      </c>
      <c r="U299" s="18"/>
      <c r="V299" s="18"/>
      <c r="W299" s="18">
        <f>+[1]I.MODERN!U202</f>
        <v>1506060.6899999988</v>
      </c>
      <c r="X299" s="18"/>
      <c r="Y299" s="18"/>
      <c r="Z299" s="18">
        <f>+[1]I.MODERN!X202</f>
        <v>0</v>
      </c>
      <c r="AA299" s="18"/>
      <c r="AB299" s="18"/>
      <c r="AC299" s="18">
        <f>+[1]I.MODERN!AA202</f>
        <v>0</v>
      </c>
      <c r="AD299" s="18"/>
      <c r="AE299" s="18"/>
      <c r="AF299" s="18">
        <f>+[1]I.MODERN!AD202</f>
        <v>0</v>
      </c>
      <c r="AG299" s="18"/>
      <c r="AH299" s="18"/>
      <c r="AI299" s="18">
        <f>+[1]I.MODERN!AG202</f>
        <v>0</v>
      </c>
      <c r="AJ299" s="19"/>
      <c r="AK299" s="19"/>
      <c r="AL299" s="76">
        <f>+[1]I.MODERN!AJ202</f>
        <v>0</v>
      </c>
    </row>
    <row r="300" spans="1:38" x14ac:dyDescent="0.25">
      <c r="A300" s="73" t="s">
        <v>67</v>
      </c>
      <c r="B300" s="6" t="s">
        <v>68</v>
      </c>
      <c r="C300" s="7" t="s">
        <v>25</v>
      </c>
      <c r="D300" s="8" t="s">
        <v>23</v>
      </c>
      <c r="E300" s="20">
        <f>+[1]I.MODERN!C205-[1]I.MODERN!C201-[1]I.MODERN!C202</f>
        <v>407147.46999999951</v>
      </c>
      <c r="F300" s="21"/>
      <c r="G300" s="21"/>
      <c r="H300" s="22">
        <f>+[1]I.MODERN!F205-[1]I.MODERN!F201-[1]I.MODERN!F202</f>
        <v>88894.529999999795</v>
      </c>
      <c r="I300" s="22"/>
      <c r="J300" s="22"/>
      <c r="K300" s="22">
        <f>+[1]I.MODERN!I205-[1]I.MODERN!I201-[1]I.MODERN!I202</f>
        <v>13241.549999999581</v>
      </c>
      <c r="L300" s="22"/>
      <c r="M300" s="22"/>
      <c r="N300" s="22">
        <f>+[1]I.MODERN!L205-[1]I.MODERN!L201-[1]I.MODERN!L202</f>
        <v>223406.40999999968</v>
      </c>
      <c r="O300" s="22"/>
      <c r="P300" s="22"/>
      <c r="Q300" s="22">
        <f>+[1]I.MODERN!O205-[1]I.MODERN!O201-[1]I.MODERN!O202</f>
        <v>157241.80000000028</v>
      </c>
      <c r="R300" s="22"/>
      <c r="S300" s="22"/>
      <c r="T300" s="22">
        <f>+[1]I.MODERN!R205-[1]I.MODERN!R201-[1]I.MODERN!R202</f>
        <v>41161.210000000894</v>
      </c>
      <c r="U300" s="22"/>
      <c r="V300" s="22"/>
      <c r="W300" s="22">
        <f>+[1]I.MODERN!U205-[1]I.MODERN!U201-[1]I.MODERN!U202</f>
        <v>188696.41000000038</v>
      </c>
      <c r="X300" s="22"/>
      <c r="Y300" s="22"/>
      <c r="Z300" s="22">
        <f>+[1]I.MODERN!X205-[1]I.MODERN!X201-[1]I.MODERN!X202</f>
        <v>0</v>
      </c>
      <c r="AA300" s="22"/>
      <c r="AB300" s="22"/>
      <c r="AC300" s="22">
        <f>+[1]I.MODERN!AA205-[1]I.MODERN!AA201-[1]I.MODERN!AA202</f>
        <v>0</v>
      </c>
      <c r="AD300" s="22"/>
      <c r="AE300" s="22"/>
      <c r="AF300" s="22">
        <f>+[1]I.MODERN!AD205-[1]I.MODERN!AD201-[1]I.MODERN!AD202</f>
        <v>0</v>
      </c>
      <c r="AG300" s="22"/>
      <c r="AH300" s="22"/>
      <c r="AI300" s="22">
        <f>+[1]I.MODERN!AG205-[1]I.MODERN!AG201-[1]I.MODERN!AG202</f>
        <v>0</v>
      </c>
      <c r="AJ300" s="23"/>
      <c r="AK300" s="23"/>
      <c r="AL300" s="77">
        <f>+[1]I.MODERN!AJ205-[1]I.MODERN!AJ201-[1]I.MODERN!AJ202</f>
        <v>0</v>
      </c>
    </row>
    <row r="301" spans="1:38" x14ac:dyDescent="0.25">
      <c r="A301" s="73" t="s">
        <v>67</v>
      </c>
      <c r="B301" s="6" t="s">
        <v>68</v>
      </c>
      <c r="C301" s="7" t="s">
        <v>26</v>
      </c>
      <c r="D301" s="8" t="s">
        <v>23</v>
      </c>
      <c r="E301" s="24">
        <f>+[1]I.MODERN!C226</f>
        <v>753037.02000000014</v>
      </c>
      <c r="F301" s="25"/>
      <c r="G301" s="25"/>
      <c r="H301" s="26">
        <f>+[1]I.MODERN!F226</f>
        <v>1302427.9800000002</v>
      </c>
      <c r="I301" s="26"/>
      <c r="J301" s="26"/>
      <c r="K301" s="26">
        <f>+[1]I.MODERN!I226</f>
        <v>1052085.69</v>
      </c>
      <c r="L301" s="26"/>
      <c r="M301" s="26"/>
      <c r="N301" s="26">
        <f>+[1]I.MODERN!L226</f>
        <v>1410686.21</v>
      </c>
      <c r="O301" s="26"/>
      <c r="P301" s="26"/>
      <c r="Q301" s="26">
        <f>+[1]I.MODERN!O226</f>
        <v>1052376.8900000001</v>
      </c>
      <c r="R301" s="26"/>
      <c r="S301" s="26"/>
      <c r="T301" s="26">
        <f>+[1]I.MODERN!R226</f>
        <v>1139424.56</v>
      </c>
      <c r="U301" s="26"/>
      <c r="V301" s="26"/>
      <c r="W301" s="26">
        <f>+[1]I.MODERN!U226</f>
        <v>1480452.79</v>
      </c>
      <c r="X301" s="26"/>
      <c r="Y301" s="26"/>
      <c r="Z301" s="26">
        <f>+[1]I.MODERN!X226</f>
        <v>0</v>
      </c>
      <c r="AA301" s="26"/>
      <c r="AB301" s="26"/>
      <c r="AC301" s="26">
        <f>+[1]I.MODERN!AA226</f>
        <v>0</v>
      </c>
      <c r="AD301" s="26"/>
      <c r="AE301" s="26"/>
      <c r="AF301" s="26">
        <f>+[1]I.MODERN!AD226</f>
        <v>0</v>
      </c>
      <c r="AG301" s="26"/>
      <c r="AH301" s="26"/>
      <c r="AI301" s="26">
        <f>+[1]I.MODERN!AG226</f>
        <v>0</v>
      </c>
      <c r="AJ301" s="27"/>
      <c r="AK301" s="27"/>
      <c r="AL301" s="78">
        <f>+[1]I.MODERN!AJ226</f>
        <v>0</v>
      </c>
    </row>
    <row r="302" spans="1:38" x14ac:dyDescent="0.25">
      <c r="A302" s="73" t="s">
        <v>67</v>
      </c>
      <c r="B302" s="6" t="s">
        <v>68</v>
      </c>
      <c r="C302" s="7" t="s">
        <v>27</v>
      </c>
      <c r="D302" s="8" t="s">
        <v>23</v>
      </c>
      <c r="E302" s="28">
        <f>+[1]I.MODERN!C227</f>
        <v>316063.00999999995</v>
      </c>
      <c r="F302" s="29"/>
      <c r="G302" s="29"/>
      <c r="H302" s="30">
        <f>+[1]I.MODERN!F227</f>
        <v>381021.54000000004</v>
      </c>
      <c r="I302" s="30"/>
      <c r="J302" s="30"/>
      <c r="K302" s="30">
        <f>+[1]I.MODERN!I227</f>
        <v>344901.73000000004</v>
      </c>
      <c r="L302" s="30"/>
      <c r="M302" s="30"/>
      <c r="N302" s="30">
        <f>+[1]I.MODERN!L227</f>
        <v>452695.82000000007</v>
      </c>
      <c r="O302" s="30"/>
      <c r="P302" s="30"/>
      <c r="Q302" s="30">
        <f>+[1]I.MODERN!O227</f>
        <v>478012.87000000005</v>
      </c>
      <c r="R302" s="30"/>
      <c r="S302" s="30"/>
      <c r="T302" s="30">
        <f>+[1]I.MODERN!R227</f>
        <v>390146.71</v>
      </c>
      <c r="U302" s="30"/>
      <c r="V302" s="30"/>
      <c r="W302" s="30">
        <f>+[1]I.MODERN!U227</f>
        <v>377877.27</v>
      </c>
      <c r="X302" s="30"/>
      <c r="Y302" s="30"/>
      <c r="Z302" s="30">
        <f>+[1]I.MODERN!X227</f>
        <v>0</v>
      </c>
      <c r="AA302" s="30"/>
      <c r="AB302" s="30"/>
      <c r="AC302" s="30">
        <f>+[1]I.MODERN!AA227</f>
        <v>0</v>
      </c>
      <c r="AD302" s="30"/>
      <c r="AE302" s="30"/>
      <c r="AF302" s="30">
        <f>+[1]I.MODERN!AD227</f>
        <v>0</v>
      </c>
      <c r="AG302" s="30"/>
      <c r="AH302" s="30"/>
      <c r="AI302" s="30">
        <f>+[1]I.MODERN!AG227</f>
        <v>0</v>
      </c>
      <c r="AJ302" s="31"/>
      <c r="AK302" s="31"/>
      <c r="AL302" s="79">
        <f>+[1]I.MODERN!AJ227</f>
        <v>0</v>
      </c>
    </row>
    <row r="303" spans="1:38" x14ac:dyDescent="0.25">
      <c r="A303" s="73" t="s">
        <v>67</v>
      </c>
      <c r="B303" s="6" t="s">
        <v>68</v>
      </c>
      <c r="C303" s="7" t="s">
        <v>28</v>
      </c>
      <c r="D303" s="8" t="s">
        <v>29</v>
      </c>
      <c r="E303" s="124">
        <f>+[1]I.MODERN!C210</f>
        <v>27.200000000000003</v>
      </c>
      <c r="F303" s="125"/>
      <c r="G303" s="125"/>
      <c r="H303" s="126">
        <f>+[1]I.MODERN!F210</f>
        <v>30.200000000000003</v>
      </c>
      <c r="I303" s="126"/>
      <c r="J303" s="126"/>
      <c r="K303" s="126">
        <f>+[1]I.MODERN!I210</f>
        <v>29.869999999999997</v>
      </c>
      <c r="L303" s="126"/>
      <c r="M303" s="126"/>
      <c r="N303" s="126">
        <f>+[1]I.MODERN!L210</f>
        <v>30.03</v>
      </c>
      <c r="O303" s="126"/>
      <c r="P303" s="126"/>
      <c r="Q303" s="126">
        <f>+[1]I.MODERN!O210</f>
        <v>29.13</v>
      </c>
      <c r="R303" s="126"/>
      <c r="S303" s="126"/>
      <c r="T303" s="126">
        <f>+[1]I.MODERN!R210</f>
        <v>32</v>
      </c>
      <c r="U303" s="126"/>
      <c r="V303" s="126"/>
      <c r="W303" s="126">
        <f>+[1]I.MODERN!U210</f>
        <v>32.53</v>
      </c>
      <c r="X303" s="126"/>
      <c r="Y303" s="126"/>
      <c r="Z303" s="126">
        <f>+[1]I.MODERN!X210</f>
        <v>0</v>
      </c>
      <c r="AA303" s="126"/>
      <c r="AB303" s="126"/>
      <c r="AC303" s="126">
        <f>+[1]I.MODERN!AA210</f>
        <v>0</v>
      </c>
      <c r="AD303" s="126"/>
      <c r="AE303" s="126"/>
      <c r="AF303" s="126">
        <f>+[1]I.MODERN!AD210</f>
        <v>0</v>
      </c>
      <c r="AG303" s="126"/>
      <c r="AH303" s="126"/>
      <c r="AI303" s="126">
        <f>+[1]I.MODERN!AG210</f>
        <v>0</v>
      </c>
      <c r="AJ303" s="127"/>
      <c r="AK303" s="127"/>
      <c r="AL303" s="128">
        <f>+[1]I.MODERN!AJ210</f>
        <v>0</v>
      </c>
    </row>
    <row r="304" spans="1:38" x14ac:dyDescent="0.25">
      <c r="A304" s="85" t="s">
        <v>67</v>
      </c>
      <c r="B304" s="32" t="s">
        <v>68</v>
      </c>
      <c r="C304" s="33" t="s">
        <v>30</v>
      </c>
      <c r="D304" s="34" t="s">
        <v>29</v>
      </c>
      <c r="E304" s="129">
        <f>+[1]I.MODERN!C211</f>
        <v>0</v>
      </c>
      <c r="F304" s="130"/>
      <c r="G304" s="130"/>
      <c r="H304" s="131">
        <f>+[1]I.MODERN!F211</f>
        <v>0</v>
      </c>
      <c r="I304" s="131"/>
      <c r="J304" s="131"/>
      <c r="K304" s="131">
        <f>+[1]I.MODERN!I211</f>
        <v>0</v>
      </c>
      <c r="L304" s="131"/>
      <c r="M304" s="131"/>
      <c r="N304" s="131">
        <f>+[1]I.MODERN!L211</f>
        <v>0</v>
      </c>
      <c r="O304" s="131"/>
      <c r="P304" s="131"/>
      <c r="Q304" s="131">
        <f>+[1]I.MODERN!O211</f>
        <v>0</v>
      </c>
      <c r="R304" s="131"/>
      <c r="S304" s="131"/>
      <c r="T304" s="131">
        <f>+[1]I.MODERN!R211</f>
        <v>0</v>
      </c>
      <c r="U304" s="131"/>
      <c r="V304" s="131"/>
      <c r="W304" s="131">
        <f>+[1]I.MODERN!U211</f>
        <v>0</v>
      </c>
      <c r="X304" s="131"/>
      <c r="Y304" s="131"/>
      <c r="Z304" s="131">
        <f>+[1]I.MODERN!X211</f>
        <v>0</v>
      </c>
      <c r="AA304" s="131"/>
      <c r="AB304" s="131"/>
      <c r="AC304" s="131">
        <f>+[1]I.MODERN!AA211</f>
        <v>0</v>
      </c>
      <c r="AD304" s="131"/>
      <c r="AE304" s="131"/>
      <c r="AF304" s="131">
        <f>+[1]I.MODERN!AD211</f>
        <v>0</v>
      </c>
      <c r="AG304" s="131"/>
      <c r="AH304" s="131"/>
      <c r="AI304" s="131">
        <f>+[1]I.MODERN!AG211</f>
        <v>0</v>
      </c>
      <c r="AJ304" s="132"/>
      <c r="AK304" s="132"/>
      <c r="AL304" s="133">
        <f>+[1]I.MODERN!AJ211</f>
        <v>0</v>
      </c>
    </row>
    <row r="305" spans="1:38" x14ac:dyDescent="0.25">
      <c r="A305" s="85" t="s">
        <v>67</v>
      </c>
      <c r="B305" s="32" t="s">
        <v>68</v>
      </c>
      <c r="C305" s="33" t="s">
        <v>31</v>
      </c>
      <c r="D305" s="34" t="s">
        <v>29</v>
      </c>
      <c r="E305" s="129">
        <f>+[1]I.MODERN!C212</f>
        <v>1.47</v>
      </c>
      <c r="F305" s="130"/>
      <c r="G305" s="130"/>
      <c r="H305" s="131">
        <f>+[1]I.MODERN!F212</f>
        <v>1.77</v>
      </c>
      <c r="I305" s="131"/>
      <c r="J305" s="131"/>
      <c r="K305" s="131">
        <f>+[1]I.MODERN!I212</f>
        <v>0.8</v>
      </c>
      <c r="L305" s="131"/>
      <c r="M305" s="131"/>
      <c r="N305" s="131">
        <f>+[1]I.MODERN!L212</f>
        <v>2.7</v>
      </c>
      <c r="O305" s="131"/>
      <c r="P305" s="131"/>
      <c r="Q305" s="131">
        <f>+[1]I.MODERN!O212</f>
        <v>4.4700000000000006</v>
      </c>
      <c r="R305" s="131"/>
      <c r="S305" s="131"/>
      <c r="T305" s="131">
        <f>+[1]I.MODERN!R212</f>
        <v>3.77</v>
      </c>
      <c r="U305" s="131"/>
      <c r="V305" s="131"/>
      <c r="W305" s="131">
        <f>+[1]I.MODERN!U212</f>
        <v>0.96</v>
      </c>
      <c r="X305" s="131"/>
      <c r="Y305" s="131"/>
      <c r="Z305" s="131">
        <f>+[1]I.MODERN!X212</f>
        <v>0</v>
      </c>
      <c r="AA305" s="131"/>
      <c r="AB305" s="131"/>
      <c r="AC305" s="131">
        <f>+[1]I.MODERN!AA212</f>
        <v>0</v>
      </c>
      <c r="AD305" s="131"/>
      <c r="AE305" s="131"/>
      <c r="AF305" s="131">
        <f>+[1]I.MODERN!AD212</f>
        <v>0</v>
      </c>
      <c r="AG305" s="131"/>
      <c r="AH305" s="131"/>
      <c r="AI305" s="131">
        <f>+[1]I.MODERN!AG212</f>
        <v>0</v>
      </c>
      <c r="AJ305" s="132"/>
      <c r="AK305" s="132"/>
      <c r="AL305" s="133">
        <f>+[1]I.MODERN!AJ212</f>
        <v>0</v>
      </c>
    </row>
    <row r="306" spans="1:38" x14ac:dyDescent="0.25">
      <c r="A306" s="85" t="s">
        <v>67</v>
      </c>
      <c r="B306" s="32" t="s">
        <v>68</v>
      </c>
      <c r="C306" s="33" t="s">
        <v>32</v>
      </c>
      <c r="D306" s="34" t="s">
        <v>29</v>
      </c>
      <c r="E306" s="129">
        <f>+[1]I.MODERN!C213</f>
        <v>0</v>
      </c>
      <c r="F306" s="130"/>
      <c r="G306" s="130"/>
      <c r="H306" s="131">
        <f>+[1]I.MODERN!F213</f>
        <v>0</v>
      </c>
      <c r="I306" s="131"/>
      <c r="J306" s="131"/>
      <c r="K306" s="131">
        <f>+[1]I.MODERN!I213</f>
        <v>0</v>
      </c>
      <c r="L306" s="131"/>
      <c r="M306" s="131"/>
      <c r="N306" s="131">
        <f>+[1]I.MODERN!L213</f>
        <v>0.67</v>
      </c>
      <c r="O306" s="131"/>
      <c r="P306" s="131"/>
      <c r="Q306" s="131">
        <f>+[1]I.MODERN!O213</f>
        <v>5</v>
      </c>
      <c r="R306" s="131"/>
      <c r="S306" s="131"/>
      <c r="T306" s="131">
        <f>+[1]I.MODERN!R213</f>
        <v>5</v>
      </c>
      <c r="U306" s="131"/>
      <c r="V306" s="131"/>
      <c r="W306" s="131">
        <f>+[1]I.MODERN!U213</f>
        <v>5</v>
      </c>
      <c r="X306" s="131"/>
      <c r="Y306" s="131"/>
      <c r="Z306" s="131">
        <f>+[1]I.MODERN!X213</f>
        <v>0</v>
      </c>
      <c r="AA306" s="131"/>
      <c r="AB306" s="131"/>
      <c r="AC306" s="131">
        <f>+[1]I.MODERN!AA213</f>
        <v>0</v>
      </c>
      <c r="AD306" s="131"/>
      <c r="AE306" s="131"/>
      <c r="AF306" s="131">
        <f>+[1]I.MODERN!AD213</f>
        <v>0</v>
      </c>
      <c r="AG306" s="131"/>
      <c r="AH306" s="131"/>
      <c r="AI306" s="131">
        <f>+[1]I.MODERN!AG213</f>
        <v>0</v>
      </c>
      <c r="AJ306" s="132"/>
      <c r="AK306" s="132"/>
      <c r="AL306" s="133">
        <f>+[1]I.MODERN!AJ213</f>
        <v>0</v>
      </c>
    </row>
    <row r="307" spans="1:38" x14ac:dyDescent="0.25">
      <c r="A307" s="85" t="s">
        <v>67</v>
      </c>
      <c r="B307" s="32" t="s">
        <v>68</v>
      </c>
      <c r="C307" s="33" t="s">
        <v>33</v>
      </c>
      <c r="D307" s="34" t="s">
        <v>29</v>
      </c>
      <c r="E307" s="129">
        <f>SUM(E303:E306)</f>
        <v>28.67</v>
      </c>
      <c r="F307" s="130"/>
      <c r="G307" s="130"/>
      <c r="H307" s="129">
        <f>SUM(H303:H306)</f>
        <v>31.970000000000002</v>
      </c>
      <c r="I307" s="131"/>
      <c r="J307" s="131"/>
      <c r="K307" s="129">
        <f>SUM(K303:K306)</f>
        <v>30.669999999999998</v>
      </c>
      <c r="L307" s="131"/>
      <c r="M307" s="131"/>
      <c r="N307" s="129">
        <f>SUM(N303:N306)</f>
        <v>33.400000000000006</v>
      </c>
      <c r="O307" s="131"/>
      <c r="P307" s="131"/>
      <c r="Q307" s="129">
        <f>SUM(Q303:Q306)</f>
        <v>38.6</v>
      </c>
      <c r="R307" s="131"/>
      <c r="S307" s="131"/>
      <c r="T307" s="129">
        <f>SUM(T303:T306)</f>
        <v>40.770000000000003</v>
      </c>
      <c r="U307" s="131"/>
      <c r="V307" s="131"/>
      <c r="W307" s="129">
        <f>SUM(W303:W306)</f>
        <v>38.49</v>
      </c>
      <c r="X307" s="131"/>
      <c r="Y307" s="131"/>
      <c r="Z307" s="129">
        <f>SUM(Z303:Z306)</f>
        <v>0</v>
      </c>
      <c r="AA307" s="131"/>
      <c r="AB307" s="131"/>
      <c r="AC307" s="129">
        <f>SUM(AC303:AC306)</f>
        <v>0</v>
      </c>
      <c r="AD307" s="131"/>
      <c r="AE307" s="131"/>
      <c r="AF307" s="129">
        <f>SUM(AF303:AF306)</f>
        <v>0</v>
      </c>
      <c r="AG307" s="131"/>
      <c r="AH307" s="131"/>
      <c r="AI307" s="129">
        <f>SUM(AI303:AI306)</f>
        <v>0</v>
      </c>
      <c r="AJ307" s="132"/>
      <c r="AK307" s="132"/>
      <c r="AL307" s="134">
        <f>SUM(AL303:AL306)</f>
        <v>0</v>
      </c>
    </row>
    <row r="308" spans="1:38" x14ac:dyDescent="0.25">
      <c r="A308" s="85" t="s">
        <v>67</v>
      </c>
      <c r="B308" s="32" t="s">
        <v>68</v>
      </c>
      <c r="C308" s="33" t="s">
        <v>34</v>
      </c>
      <c r="D308" s="34" t="s">
        <v>23</v>
      </c>
      <c r="E308" s="35">
        <f>+[1]I.MODERN!C217+[1]I.MODERN!C218+[1]I.MODERN!C219+[1]I.MODERN!C220</f>
        <v>1952206.2000000004</v>
      </c>
      <c r="F308" s="36"/>
      <c r="G308" s="36"/>
      <c r="H308" s="35">
        <f>+[1]I.MODERN!F217+[1]I.MODERN!F218+[1]I.MODERN!F219+[1]I.MODERN!F220</f>
        <v>2532626.48</v>
      </c>
      <c r="I308" s="18"/>
      <c r="J308" s="18"/>
      <c r="K308" s="35">
        <f>+[1]I.MODERN!I217+[1]I.MODERN!I218+[1]I.MODERN!I219+[1]I.MODERN!I220</f>
        <v>2633775.707173957</v>
      </c>
      <c r="L308" s="18"/>
      <c r="M308" s="18"/>
      <c r="N308" s="35">
        <f>+[1]I.MODERN!L217+[1]I.MODERN!L218+[1]I.MODERN!L219+[1]I.MODERN!L220</f>
        <v>2694972.8485588892</v>
      </c>
      <c r="O308" s="18"/>
      <c r="P308" s="18"/>
      <c r="Q308" s="35">
        <f>+[1]I.MODERN!O217+[1]I.MODERN!O218+[1]I.MODERN!O219+[1]I.MODERN!O220</f>
        <v>3254105.9676235244</v>
      </c>
      <c r="R308" s="18"/>
      <c r="S308" s="18"/>
      <c r="T308" s="35">
        <f>+[1]I.MODERN!R217+[1]I.MODERN!R218+[1]I.MODERN!R219+[1]I.MODERN!R220</f>
        <v>3287983.3988761436</v>
      </c>
      <c r="U308" s="18"/>
      <c r="V308" s="18"/>
      <c r="W308" s="35">
        <f>+[1]I.MODERN!U217+[1]I.MODERN!U218+[1]I.MODERN!U219+[1]I.MODERN!U220</f>
        <v>2958224.3012616597</v>
      </c>
      <c r="X308" s="18"/>
      <c r="Y308" s="18"/>
      <c r="Z308" s="35">
        <f>+[1]I.MODERN!X217+[1]I.MODERN!X218+[1]I.MODERN!X219+[1]I.MODERN!X220</f>
        <v>0</v>
      </c>
      <c r="AA308" s="18"/>
      <c r="AB308" s="18"/>
      <c r="AC308" s="35">
        <f>+[1]I.MODERN!AA217+[1]I.MODERN!AA218+[1]I.MODERN!AA219+[1]I.MODERN!AA220</f>
        <v>0</v>
      </c>
      <c r="AD308" s="18"/>
      <c r="AE308" s="18"/>
      <c r="AF308" s="35">
        <f>+[1]I.MODERN!AD217+[1]I.MODERN!AD218+[1]I.MODERN!AD219+[1]I.MODERN!AD220</f>
        <v>0</v>
      </c>
      <c r="AG308" s="18"/>
      <c r="AH308" s="18"/>
      <c r="AI308" s="35">
        <f>+[1]I.MODERN!AG217+[1]I.MODERN!AG218+[1]I.MODERN!AG219+[1]I.MODERN!AG220</f>
        <v>0</v>
      </c>
      <c r="AJ308" s="19"/>
      <c r="AK308" s="19"/>
      <c r="AL308" s="92">
        <f>+[1]I.MODERN!AJ217+[1]I.MODERN!AJ218+[1]I.MODERN!AJ219+[1]I.MODERN!AJ220</f>
        <v>0</v>
      </c>
    </row>
    <row r="309" spans="1:38" x14ac:dyDescent="0.25">
      <c r="A309" s="85" t="s">
        <v>67</v>
      </c>
      <c r="B309" s="32" t="s">
        <v>68</v>
      </c>
      <c r="C309" s="33" t="s">
        <v>35</v>
      </c>
      <c r="D309" s="34" t="s">
        <v>23</v>
      </c>
      <c r="E309" s="35">
        <f>+[1]I.MODERN!C221</f>
        <v>0</v>
      </c>
      <c r="F309" s="36"/>
      <c r="G309" s="36"/>
      <c r="H309" s="35">
        <f>+[1]I.MODERN!F221</f>
        <v>0</v>
      </c>
      <c r="I309" s="18"/>
      <c r="J309" s="18"/>
      <c r="K309" s="35">
        <f>+[1]I.MODERN!I221</f>
        <v>0</v>
      </c>
      <c r="L309" s="18"/>
      <c r="M309" s="18"/>
      <c r="N309" s="35">
        <f>+[1]I.MODERN!L221</f>
        <v>0</v>
      </c>
      <c r="O309" s="18"/>
      <c r="P309" s="18"/>
      <c r="Q309" s="35">
        <f>+[1]I.MODERN!O221</f>
        <v>0</v>
      </c>
      <c r="R309" s="18"/>
      <c r="S309" s="18"/>
      <c r="T309" s="35">
        <f>+[1]I.MODERN!R221</f>
        <v>0</v>
      </c>
      <c r="U309" s="18"/>
      <c r="V309" s="18"/>
      <c r="W309" s="35">
        <f>+[1]I.MODERN!U221</f>
        <v>0</v>
      </c>
      <c r="X309" s="18"/>
      <c r="Y309" s="18"/>
      <c r="Z309" s="35">
        <f>+[1]I.MODERN!X221</f>
        <v>0</v>
      </c>
      <c r="AA309" s="18"/>
      <c r="AB309" s="18"/>
      <c r="AC309" s="35">
        <f>+[1]I.MODERN!AA221</f>
        <v>0</v>
      </c>
      <c r="AD309" s="18"/>
      <c r="AE309" s="18"/>
      <c r="AF309" s="35">
        <f>+[1]I.MODERN!AD221</f>
        <v>0</v>
      </c>
      <c r="AG309" s="18"/>
      <c r="AH309" s="18"/>
      <c r="AI309" s="35">
        <f>+[1]I.MODERN!AG221</f>
        <v>0</v>
      </c>
      <c r="AJ309" s="19"/>
      <c r="AK309" s="19"/>
      <c r="AL309" s="92">
        <f>+[1]I.MODERN!AJ221</f>
        <v>0</v>
      </c>
    </row>
    <row r="310" spans="1:38" x14ac:dyDescent="0.25">
      <c r="A310" s="85" t="s">
        <v>67</v>
      </c>
      <c r="B310" s="32" t="s">
        <v>68</v>
      </c>
      <c r="C310" s="33" t="s">
        <v>36</v>
      </c>
      <c r="D310" s="34" t="s">
        <v>23</v>
      </c>
      <c r="E310" s="35">
        <f>+[1]I.MODERN!C222</f>
        <v>156011</v>
      </c>
      <c r="F310" s="36"/>
      <c r="G310" s="36"/>
      <c r="H310" s="35">
        <f>+[1]I.MODERN!F222</f>
        <v>149656.63</v>
      </c>
      <c r="I310" s="18"/>
      <c r="J310" s="18"/>
      <c r="K310" s="35">
        <f>+[1]I.MODERN!I222</f>
        <v>247019.9</v>
      </c>
      <c r="L310" s="18"/>
      <c r="M310" s="18"/>
      <c r="N310" s="35">
        <f>+[1]I.MODERN!L222</f>
        <v>331196.42</v>
      </c>
      <c r="O310" s="18"/>
      <c r="P310" s="18"/>
      <c r="Q310" s="35">
        <f>+[1]I.MODERN!O222</f>
        <v>554469.1</v>
      </c>
      <c r="R310" s="18"/>
      <c r="S310" s="18"/>
      <c r="T310" s="35">
        <f>+[1]I.MODERN!R222</f>
        <v>436594.41000000003</v>
      </c>
      <c r="U310" s="18"/>
      <c r="V310" s="18"/>
      <c r="W310" s="35">
        <f>+[1]I.MODERN!U222</f>
        <v>189498.15</v>
      </c>
      <c r="X310" s="18"/>
      <c r="Y310" s="18"/>
      <c r="Z310" s="35">
        <f>+[1]I.MODERN!X222</f>
        <v>0</v>
      </c>
      <c r="AA310" s="18"/>
      <c r="AB310" s="18"/>
      <c r="AC310" s="35">
        <f>+[1]I.MODERN!AA222</f>
        <v>0</v>
      </c>
      <c r="AD310" s="18"/>
      <c r="AE310" s="18"/>
      <c r="AF310" s="35">
        <f>+[1]I.MODERN!AD222</f>
        <v>0</v>
      </c>
      <c r="AG310" s="18"/>
      <c r="AH310" s="18"/>
      <c r="AI310" s="35">
        <f>+[1]I.MODERN!AG222</f>
        <v>0</v>
      </c>
      <c r="AJ310" s="19"/>
      <c r="AK310" s="19"/>
      <c r="AL310" s="92">
        <f>+[1]I.MODERN!AJ222</f>
        <v>0</v>
      </c>
    </row>
    <row r="311" spans="1:38" x14ac:dyDescent="0.25">
      <c r="A311" s="85" t="s">
        <v>67</v>
      </c>
      <c r="B311" s="32" t="s">
        <v>68</v>
      </c>
      <c r="C311" s="33" t="s">
        <v>37</v>
      </c>
      <c r="D311" s="34" t="s">
        <v>23</v>
      </c>
      <c r="E311" s="37">
        <f>SUM(E308:E310)</f>
        <v>2108217.2000000002</v>
      </c>
      <c r="F311" s="38"/>
      <c r="G311" s="38"/>
      <c r="H311" s="37">
        <f>SUM(H308:H310)</f>
        <v>2682283.11</v>
      </c>
      <c r="I311" s="39"/>
      <c r="J311" s="39"/>
      <c r="K311" s="37">
        <f>SUM(K308:K310)</f>
        <v>2880795.6071739569</v>
      </c>
      <c r="L311" s="39"/>
      <c r="M311" s="39"/>
      <c r="N311" s="37">
        <f>SUM(N308:N310)</f>
        <v>3026169.2685588892</v>
      </c>
      <c r="O311" s="39"/>
      <c r="P311" s="39"/>
      <c r="Q311" s="37">
        <f>SUM(Q308:Q310)</f>
        <v>3808575.0676235245</v>
      </c>
      <c r="R311" s="39"/>
      <c r="S311" s="39"/>
      <c r="T311" s="37">
        <f>SUM(T308:T310)</f>
        <v>3724577.8088761438</v>
      </c>
      <c r="U311" s="39"/>
      <c r="V311" s="39"/>
      <c r="W311" s="37">
        <f>SUM(W308:W310)</f>
        <v>3147722.4512616596</v>
      </c>
      <c r="X311" s="39"/>
      <c r="Y311" s="39"/>
      <c r="Z311" s="37">
        <f>SUM(Z308:Z310)</f>
        <v>0</v>
      </c>
      <c r="AA311" s="39"/>
      <c r="AB311" s="39"/>
      <c r="AC311" s="37">
        <f>SUM(AC308:AC310)</f>
        <v>0</v>
      </c>
      <c r="AD311" s="39"/>
      <c r="AE311" s="39"/>
      <c r="AF311" s="37">
        <f>SUM(AF308:AF310)</f>
        <v>0</v>
      </c>
      <c r="AG311" s="39"/>
      <c r="AH311" s="39"/>
      <c r="AI311" s="37">
        <f>SUM(AI308:AI310)</f>
        <v>0</v>
      </c>
      <c r="AJ311" s="40"/>
      <c r="AK311" s="40"/>
      <c r="AL311" s="93">
        <f>SUM(AL308:AL310)</f>
        <v>0</v>
      </c>
    </row>
    <row r="312" spans="1:38" x14ac:dyDescent="0.25">
      <c r="A312" s="73" t="s">
        <v>67</v>
      </c>
      <c r="B312" s="6" t="s">
        <v>68</v>
      </c>
      <c r="C312" s="7" t="s">
        <v>38</v>
      </c>
      <c r="D312" s="8" t="s">
        <v>23</v>
      </c>
      <c r="E312" s="28">
        <f>IFERROR(E311/E307,0)</f>
        <v>73533.910010463907</v>
      </c>
      <c r="F312" s="29"/>
      <c r="G312" s="29"/>
      <c r="H312" s="28">
        <f>IFERROR(H311/H307,0)</f>
        <v>83900.003440725675</v>
      </c>
      <c r="I312" s="30"/>
      <c r="J312" s="30"/>
      <c r="K312" s="28">
        <f>IFERROR(K311/K307,0)</f>
        <v>93928.77754072244</v>
      </c>
      <c r="L312" s="30"/>
      <c r="M312" s="30"/>
      <c r="N312" s="28">
        <f>IFERROR(N311/N307,0)</f>
        <v>90603.870316134387</v>
      </c>
      <c r="O312" s="30"/>
      <c r="P312" s="30"/>
      <c r="Q312" s="28">
        <f>IFERROR(Q311/Q307,0)</f>
        <v>98667.747865894416</v>
      </c>
      <c r="R312" s="30"/>
      <c r="S312" s="30"/>
      <c r="T312" s="28">
        <f>IFERROR(T311/T307,0)</f>
        <v>91355.845201769524</v>
      </c>
      <c r="U312" s="30"/>
      <c r="V312" s="30"/>
      <c r="W312" s="28">
        <f>IFERROR(W311/W307,0)</f>
        <v>81780.26633571471</v>
      </c>
      <c r="X312" s="30"/>
      <c r="Y312" s="30"/>
      <c r="Z312" s="28">
        <f>IFERROR(Z311/Z307,0)</f>
        <v>0</v>
      </c>
      <c r="AA312" s="30"/>
      <c r="AB312" s="30"/>
      <c r="AC312" s="28">
        <f>IFERROR(AC311/AC307,0)</f>
        <v>0</v>
      </c>
      <c r="AD312" s="30"/>
      <c r="AE312" s="30"/>
      <c r="AF312" s="28">
        <f>IFERROR(AF311/AF307,0)</f>
        <v>0</v>
      </c>
      <c r="AG312" s="30"/>
      <c r="AH312" s="30"/>
      <c r="AI312" s="28">
        <f>IFERROR(AI311/AI307,0)</f>
        <v>0</v>
      </c>
      <c r="AJ312" s="31"/>
      <c r="AK312" s="31"/>
      <c r="AL312" s="94">
        <f>IFERROR(AL311/AL307,0)</f>
        <v>0</v>
      </c>
    </row>
    <row r="313" spans="1:38" x14ac:dyDescent="0.25">
      <c r="A313" s="73" t="s">
        <v>67</v>
      </c>
      <c r="B313" s="6" t="s">
        <v>68</v>
      </c>
      <c r="C313" s="7" t="s">
        <v>39</v>
      </c>
      <c r="D313" s="8" t="s">
        <v>23</v>
      </c>
      <c r="E313" s="41">
        <f>+[1]I.MODERN!C246</f>
        <v>170418</v>
      </c>
      <c r="F313" s="42"/>
      <c r="G313" s="42"/>
      <c r="H313" s="43">
        <f>+[1]I.MODERN!F246</f>
        <v>112181</v>
      </c>
      <c r="I313" s="43"/>
      <c r="J313" s="43"/>
      <c r="K313" s="43">
        <f>+[1]I.MODERN!I246</f>
        <v>102242</v>
      </c>
      <c r="L313" s="43"/>
      <c r="M313" s="43"/>
      <c r="N313" s="43">
        <f>+[1]I.MODERN!L246</f>
        <v>124642</v>
      </c>
      <c r="O313" s="43"/>
      <c r="P313" s="43"/>
      <c r="Q313" s="43">
        <f>+[1]I.MODERN!O246</f>
        <v>117411</v>
      </c>
      <c r="R313" s="43"/>
      <c r="S313" s="43"/>
      <c r="T313" s="43">
        <f>+[1]I.MODERN!R246</f>
        <v>127056</v>
      </c>
      <c r="U313" s="43"/>
      <c r="V313" s="43"/>
      <c r="W313" s="43">
        <f>+[1]I.MODERN!U246</f>
        <v>152331</v>
      </c>
      <c r="X313" s="43"/>
      <c r="Y313" s="43"/>
      <c r="Z313" s="43">
        <f>+[1]I.MODERN!X246</f>
        <v>0</v>
      </c>
      <c r="AA313" s="43"/>
      <c r="AB313" s="43"/>
      <c r="AC313" s="43">
        <f>+[1]I.MODERN!AA246</f>
        <v>0</v>
      </c>
      <c r="AD313" s="43"/>
      <c r="AE313" s="43"/>
      <c r="AF313" s="43">
        <f>+[1]I.MODERN!AD246</f>
        <v>0</v>
      </c>
      <c r="AG313" s="43"/>
      <c r="AH313" s="43"/>
      <c r="AI313" s="43">
        <f>+[1]I.MODERN!AG246</f>
        <v>0</v>
      </c>
      <c r="AJ313" s="44"/>
      <c r="AK313" s="44"/>
      <c r="AL313" s="95">
        <f>+[1]I.MODERN!AJ246</f>
        <v>0</v>
      </c>
    </row>
    <row r="314" spans="1:38" x14ac:dyDescent="0.25">
      <c r="A314" s="73" t="s">
        <v>67</v>
      </c>
      <c r="B314" s="6" t="s">
        <v>68</v>
      </c>
      <c r="C314" s="7" t="s">
        <v>40</v>
      </c>
      <c r="D314" s="34" t="s">
        <v>23</v>
      </c>
      <c r="E314" s="45">
        <f>+[1]I.MODERN!C247</f>
        <v>0</v>
      </c>
      <c r="F314" s="46"/>
      <c r="G314" s="46"/>
      <c r="H314" s="47">
        <f>+[1]I.MODERN!F247</f>
        <v>0</v>
      </c>
      <c r="I314" s="47"/>
      <c r="J314" s="47"/>
      <c r="K314" s="47">
        <f>+[1]I.MODERN!I247</f>
        <v>0</v>
      </c>
      <c r="L314" s="47"/>
      <c r="M314" s="47"/>
      <c r="N314" s="47">
        <f>+[1]I.MODERN!L247</f>
        <v>0</v>
      </c>
      <c r="O314" s="47"/>
      <c r="P314" s="47"/>
      <c r="Q314" s="47">
        <f>+[1]I.MODERN!O247</f>
        <v>0</v>
      </c>
      <c r="R314" s="47"/>
      <c r="S314" s="47"/>
      <c r="T314" s="47">
        <f>+[1]I.MODERN!R247</f>
        <v>0</v>
      </c>
      <c r="U314" s="47"/>
      <c r="V314" s="47"/>
      <c r="W314" s="47">
        <f>+[1]I.MODERN!U247</f>
        <v>0</v>
      </c>
      <c r="X314" s="47"/>
      <c r="Y314" s="47"/>
      <c r="Z314" s="47">
        <f>+[1]I.MODERN!X247</f>
        <v>0</v>
      </c>
      <c r="AA314" s="47"/>
      <c r="AB314" s="47"/>
      <c r="AC314" s="47">
        <f>+[1]I.MODERN!AA247</f>
        <v>0</v>
      </c>
      <c r="AD314" s="47"/>
      <c r="AE314" s="47"/>
      <c r="AF314" s="47">
        <f>+[1]I.MODERN!AD247</f>
        <v>0</v>
      </c>
      <c r="AG314" s="47"/>
      <c r="AH314" s="47"/>
      <c r="AI314" s="47">
        <f>+[1]I.MODERN!AG247</f>
        <v>0</v>
      </c>
      <c r="AJ314" s="48"/>
      <c r="AK314" s="48"/>
      <c r="AL314" s="96">
        <f>+[1]I.MODERN!AJ247</f>
        <v>0</v>
      </c>
    </row>
    <row r="315" spans="1:38" x14ac:dyDescent="0.25">
      <c r="A315" s="73" t="s">
        <v>67</v>
      </c>
      <c r="B315" s="6" t="s">
        <v>68</v>
      </c>
      <c r="C315" s="7" t="s">
        <v>41</v>
      </c>
      <c r="D315" s="34" t="s">
        <v>23</v>
      </c>
      <c r="E315" s="45">
        <f>+[1]I.MODERN!C248</f>
        <v>23816</v>
      </c>
      <c r="F315" s="46"/>
      <c r="G315" s="46"/>
      <c r="H315" s="47">
        <f>+[1]I.MODERN!F248</f>
        <v>26440</v>
      </c>
      <c r="I315" s="47"/>
      <c r="J315" s="47"/>
      <c r="K315" s="47">
        <f>+[1]I.MODERN!I248</f>
        <v>27460</v>
      </c>
      <c r="L315" s="47"/>
      <c r="M315" s="47"/>
      <c r="N315" s="47">
        <f>+[1]I.MODERN!L248</f>
        <v>30049</v>
      </c>
      <c r="O315" s="47"/>
      <c r="P315" s="47"/>
      <c r="Q315" s="47">
        <f>+[1]I.MODERN!O248</f>
        <v>34729</v>
      </c>
      <c r="R315" s="47"/>
      <c r="S315" s="47"/>
      <c r="T315" s="47">
        <f>+[1]I.MODERN!R248</f>
        <v>36276</v>
      </c>
      <c r="U315" s="47"/>
      <c r="V315" s="47"/>
      <c r="W315" s="47">
        <f>+[1]I.MODERN!U248</f>
        <v>46017</v>
      </c>
      <c r="X315" s="47"/>
      <c r="Y315" s="47"/>
      <c r="Z315" s="47">
        <f>+[1]I.MODERN!X248</f>
        <v>0</v>
      </c>
      <c r="AA315" s="47"/>
      <c r="AB315" s="47"/>
      <c r="AC315" s="47">
        <f>+[1]I.MODERN!AA248</f>
        <v>0</v>
      </c>
      <c r="AD315" s="47"/>
      <c r="AE315" s="47"/>
      <c r="AF315" s="47">
        <f>+[1]I.MODERN!AD248</f>
        <v>0</v>
      </c>
      <c r="AG315" s="47"/>
      <c r="AH315" s="47"/>
      <c r="AI315" s="47">
        <f>+[1]I.MODERN!AG248</f>
        <v>0</v>
      </c>
      <c r="AJ315" s="48"/>
      <c r="AK315" s="48"/>
      <c r="AL315" s="96">
        <f>+[1]I.MODERN!AJ248</f>
        <v>0</v>
      </c>
    </row>
    <row r="316" spans="1:38" x14ac:dyDescent="0.25">
      <c r="A316" s="73" t="s">
        <v>67</v>
      </c>
      <c r="B316" s="6" t="s">
        <v>68</v>
      </c>
      <c r="C316" s="7" t="s">
        <v>42</v>
      </c>
      <c r="D316" s="34" t="s">
        <v>43</v>
      </c>
      <c r="E316" s="97">
        <v>0</v>
      </c>
      <c r="F316" s="98"/>
      <c r="G316" s="98"/>
      <c r="H316" s="99">
        <v>0</v>
      </c>
      <c r="I316" s="99"/>
      <c r="J316" s="99"/>
      <c r="K316" s="99">
        <v>0</v>
      </c>
      <c r="L316" s="99"/>
      <c r="M316" s="99"/>
      <c r="N316" s="99">
        <v>0</v>
      </c>
      <c r="O316" s="99"/>
      <c r="P316" s="99"/>
      <c r="Q316" s="99">
        <v>0</v>
      </c>
      <c r="R316" s="99"/>
      <c r="S316" s="99"/>
      <c r="T316" s="99">
        <v>0</v>
      </c>
      <c r="U316" s="99"/>
      <c r="V316" s="99"/>
      <c r="W316" s="99">
        <v>0</v>
      </c>
      <c r="X316" s="99"/>
      <c r="Y316" s="99"/>
      <c r="Z316" s="99">
        <v>0</v>
      </c>
      <c r="AA316" s="99"/>
      <c r="AB316" s="99"/>
      <c r="AC316" s="99">
        <v>0</v>
      </c>
      <c r="AD316" s="99"/>
      <c r="AE316" s="99"/>
      <c r="AF316" s="99">
        <v>0</v>
      </c>
      <c r="AG316" s="99"/>
      <c r="AH316" s="99"/>
      <c r="AI316" s="99">
        <v>0</v>
      </c>
      <c r="AJ316" s="100"/>
      <c r="AK316" s="100"/>
      <c r="AL316" s="101">
        <v>0</v>
      </c>
    </row>
    <row r="317" spans="1:38" x14ac:dyDescent="0.25">
      <c r="A317" s="73" t="s">
        <v>67</v>
      </c>
      <c r="B317" s="6" t="s">
        <v>68</v>
      </c>
      <c r="C317" s="7" t="s">
        <v>44</v>
      </c>
      <c r="D317" s="34" t="s">
        <v>45</v>
      </c>
      <c r="E317" s="102">
        <v>0</v>
      </c>
      <c r="F317" s="103"/>
      <c r="G317" s="103"/>
      <c r="H317" s="104">
        <v>0</v>
      </c>
      <c r="I317" s="104"/>
      <c r="J317" s="104"/>
      <c r="K317" s="104">
        <v>0</v>
      </c>
      <c r="L317" s="104"/>
      <c r="M317" s="104"/>
      <c r="N317" s="104">
        <v>0</v>
      </c>
      <c r="O317" s="104"/>
      <c r="P317" s="104"/>
      <c r="Q317" s="104">
        <v>0</v>
      </c>
      <c r="R317" s="104"/>
      <c r="S317" s="104"/>
      <c r="T317" s="104">
        <v>0</v>
      </c>
      <c r="U317" s="104"/>
      <c r="V317" s="104"/>
      <c r="W317" s="104">
        <v>0</v>
      </c>
      <c r="X317" s="104"/>
      <c r="Y317" s="104"/>
      <c r="Z317" s="104">
        <v>0</v>
      </c>
      <c r="AA317" s="104"/>
      <c r="AB317" s="104"/>
      <c r="AC317" s="104">
        <v>0</v>
      </c>
      <c r="AD317" s="104"/>
      <c r="AE317" s="104"/>
      <c r="AF317" s="104">
        <v>0</v>
      </c>
      <c r="AG317" s="104"/>
      <c r="AH317" s="104"/>
      <c r="AI317" s="104">
        <v>0</v>
      </c>
      <c r="AJ317" s="105"/>
      <c r="AK317" s="105"/>
      <c r="AL317" s="106">
        <v>0</v>
      </c>
    </row>
    <row r="318" spans="1:38" x14ac:dyDescent="0.25">
      <c r="A318" s="73" t="s">
        <v>67</v>
      </c>
      <c r="B318" s="6" t="s">
        <v>68</v>
      </c>
      <c r="C318" s="7" t="s">
        <v>46</v>
      </c>
      <c r="D318" s="34" t="s">
        <v>45</v>
      </c>
      <c r="E318" s="107">
        <v>0</v>
      </c>
      <c r="F318" s="108"/>
      <c r="G318" s="108"/>
      <c r="H318" s="109">
        <v>0</v>
      </c>
      <c r="I318" s="109"/>
      <c r="J318" s="109"/>
      <c r="K318" s="109">
        <v>0</v>
      </c>
      <c r="L318" s="109"/>
      <c r="M318" s="109"/>
      <c r="N318" s="109">
        <v>0</v>
      </c>
      <c r="O318" s="109"/>
      <c r="P318" s="109"/>
      <c r="Q318" s="109">
        <v>0</v>
      </c>
      <c r="R318" s="109"/>
      <c r="S318" s="109"/>
      <c r="T318" s="109">
        <v>0</v>
      </c>
      <c r="U318" s="109"/>
      <c r="V318" s="109"/>
      <c r="W318" s="109">
        <v>0</v>
      </c>
      <c r="X318" s="109"/>
      <c r="Y318" s="109"/>
      <c r="Z318" s="109">
        <v>0</v>
      </c>
      <c r="AA318" s="109"/>
      <c r="AB318" s="109"/>
      <c r="AC318" s="109">
        <v>0</v>
      </c>
      <c r="AD318" s="109"/>
      <c r="AE318" s="109"/>
      <c r="AF318" s="109">
        <v>0</v>
      </c>
      <c r="AG318" s="109"/>
      <c r="AH318" s="109"/>
      <c r="AI318" s="109">
        <v>0</v>
      </c>
      <c r="AJ318" s="110"/>
      <c r="AK318" s="110"/>
      <c r="AL318" s="111">
        <v>0</v>
      </c>
    </row>
    <row r="319" spans="1:38" x14ac:dyDescent="0.25">
      <c r="A319" s="73" t="s">
        <v>67</v>
      </c>
      <c r="B319" s="6" t="s">
        <v>68</v>
      </c>
      <c r="C319" s="7" t="s">
        <v>47</v>
      </c>
      <c r="D319" s="8" t="s">
        <v>23</v>
      </c>
      <c r="E319" s="49">
        <f>IFERROR(+E313/E316,0)</f>
        <v>0</v>
      </c>
      <c r="F319" s="50"/>
      <c r="G319" s="50"/>
      <c r="H319" s="51">
        <f>IFERROR(+H313/H316,0)</f>
        <v>0</v>
      </c>
      <c r="I319" s="52"/>
      <c r="J319" s="52"/>
      <c r="K319" s="51">
        <f>IFERROR(+K313/K316,0)</f>
        <v>0</v>
      </c>
      <c r="L319" s="52"/>
      <c r="M319" s="52"/>
      <c r="N319" s="51">
        <f>IFERROR(+N313/N316,0)</f>
        <v>0</v>
      </c>
      <c r="O319" s="52"/>
      <c r="P319" s="52"/>
      <c r="Q319" s="51">
        <f>IFERROR(+Q313/Q316,0)</f>
        <v>0</v>
      </c>
      <c r="R319" s="52"/>
      <c r="S319" s="52"/>
      <c r="T319" s="51">
        <f>IFERROR(+T313/T316,0)</f>
        <v>0</v>
      </c>
      <c r="U319" s="52"/>
      <c r="V319" s="52"/>
      <c r="W319" s="51">
        <f>IFERROR(+W313/W316,0)</f>
        <v>0</v>
      </c>
      <c r="X319" s="52"/>
      <c r="Y319" s="52"/>
      <c r="Z319" s="51">
        <f>IFERROR(+Z313/Z316,0)</f>
        <v>0</v>
      </c>
      <c r="AA319" s="52"/>
      <c r="AB319" s="52"/>
      <c r="AC319" s="51">
        <f>IFERROR(+AC313/AC316,0)</f>
        <v>0</v>
      </c>
      <c r="AD319" s="52"/>
      <c r="AE319" s="52"/>
      <c r="AF319" s="51">
        <f>IFERROR(+AF313/AF316,0)</f>
        <v>0</v>
      </c>
      <c r="AG319" s="52"/>
      <c r="AH319" s="52"/>
      <c r="AI319" s="51">
        <f>IFERROR(+AI313/AI316,0)</f>
        <v>0</v>
      </c>
      <c r="AJ319" s="53"/>
      <c r="AK319" s="53"/>
      <c r="AL319" s="112">
        <f>IFERROR(+AL313/AL316,0)</f>
        <v>0</v>
      </c>
    </row>
    <row r="320" spans="1:38" x14ac:dyDescent="0.25">
      <c r="A320" s="73" t="s">
        <v>67</v>
      </c>
      <c r="B320" s="6" t="s">
        <v>68</v>
      </c>
      <c r="C320" s="7" t="s">
        <v>48</v>
      </c>
      <c r="D320" s="34" t="s">
        <v>23</v>
      </c>
      <c r="E320" s="49">
        <f>IFERROR(+E314/E317,0)</f>
        <v>0</v>
      </c>
      <c r="F320" s="50"/>
      <c r="G320" s="50"/>
      <c r="H320" s="51">
        <f>IFERROR(+H314/H317,0)</f>
        <v>0</v>
      </c>
      <c r="I320" s="52"/>
      <c r="J320" s="52"/>
      <c r="K320" s="51">
        <f>IFERROR(+K314/K317,0)</f>
        <v>0</v>
      </c>
      <c r="L320" s="52"/>
      <c r="M320" s="52"/>
      <c r="N320" s="51">
        <f>IFERROR(+N314/N317,0)</f>
        <v>0</v>
      </c>
      <c r="O320" s="52"/>
      <c r="P320" s="52"/>
      <c r="Q320" s="51">
        <f>IFERROR(+Q314/Q317,0)</f>
        <v>0</v>
      </c>
      <c r="R320" s="52"/>
      <c r="S320" s="52"/>
      <c r="T320" s="51">
        <f>IFERROR(+T314/T317,0)</f>
        <v>0</v>
      </c>
      <c r="U320" s="52"/>
      <c r="V320" s="52"/>
      <c r="W320" s="51">
        <f>IFERROR(+W314/W317,0)</f>
        <v>0</v>
      </c>
      <c r="X320" s="52"/>
      <c r="Y320" s="52"/>
      <c r="Z320" s="51">
        <f>IFERROR(+Z314/Z317,0)</f>
        <v>0</v>
      </c>
      <c r="AA320" s="52"/>
      <c r="AB320" s="52"/>
      <c r="AC320" s="51">
        <f>IFERROR(+AC314/AC317,0)</f>
        <v>0</v>
      </c>
      <c r="AD320" s="52"/>
      <c r="AE320" s="52"/>
      <c r="AF320" s="51">
        <f>IFERROR(+AF314/AF317,0)</f>
        <v>0</v>
      </c>
      <c r="AG320" s="52"/>
      <c r="AH320" s="52"/>
      <c r="AI320" s="51">
        <f>IFERROR(+AI314/AI317,0)</f>
        <v>0</v>
      </c>
      <c r="AJ320" s="53"/>
      <c r="AK320" s="53"/>
      <c r="AL320" s="112">
        <f>IFERROR(+AL314/AL317,0)</f>
        <v>0</v>
      </c>
    </row>
    <row r="321" spans="1:38" x14ac:dyDescent="0.25">
      <c r="A321" s="73" t="s">
        <v>67</v>
      </c>
      <c r="B321" s="6" t="s">
        <v>68</v>
      </c>
      <c r="C321" s="7" t="s">
        <v>49</v>
      </c>
      <c r="D321" s="34" t="s">
        <v>23</v>
      </c>
      <c r="E321" s="54">
        <f>IFERROR(+E315/E318,0)</f>
        <v>0</v>
      </c>
      <c r="F321" s="55"/>
      <c r="G321" s="55"/>
      <c r="H321" s="56">
        <f>IFERROR(+H315/H318,0)</f>
        <v>0</v>
      </c>
      <c r="I321" s="57"/>
      <c r="J321" s="57"/>
      <c r="K321" s="56">
        <f>IFERROR(+K315/K318,0)</f>
        <v>0</v>
      </c>
      <c r="L321" s="57"/>
      <c r="M321" s="57"/>
      <c r="N321" s="56">
        <f>IFERROR(+N315/N318,0)</f>
        <v>0</v>
      </c>
      <c r="O321" s="57"/>
      <c r="P321" s="57"/>
      <c r="Q321" s="56">
        <f>IFERROR(+Q315/Q318,0)</f>
        <v>0</v>
      </c>
      <c r="R321" s="57"/>
      <c r="S321" s="57"/>
      <c r="T321" s="56">
        <f>IFERROR(+T315/T318,0)</f>
        <v>0</v>
      </c>
      <c r="U321" s="57"/>
      <c r="V321" s="57"/>
      <c r="W321" s="56">
        <f>IFERROR(+W315/W318,0)</f>
        <v>0</v>
      </c>
      <c r="X321" s="57"/>
      <c r="Y321" s="57"/>
      <c r="Z321" s="56">
        <f>IFERROR(+Z315/Z318,0)</f>
        <v>0</v>
      </c>
      <c r="AA321" s="57"/>
      <c r="AB321" s="57"/>
      <c r="AC321" s="56">
        <f>IFERROR(+AC315/AC318,0)</f>
        <v>0</v>
      </c>
      <c r="AD321" s="57"/>
      <c r="AE321" s="57"/>
      <c r="AF321" s="56">
        <f>IFERROR(+AF315/AF318,0)</f>
        <v>0</v>
      </c>
      <c r="AG321" s="57"/>
      <c r="AH321" s="57"/>
      <c r="AI321" s="56">
        <f>IFERROR(+AI315/AI318,0)</f>
        <v>0</v>
      </c>
      <c r="AJ321" s="58"/>
      <c r="AK321" s="58"/>
      <c r="AL321" s="113">
        <f>IFERROR(+AL315/AL318,0)</f>
        <v>0</v>
      </c>
    </row>
    <row r="322" spans="1:38" x14ac:dyDescent="0.25">
      <c r="A322" s="73" t="s">
        <v>67</v>
      </c>
      <c r="B322" s="6" t="s">
        <v>68</v>
      </c>
      <c r="C322" s="7" t="s">
        <v>50</v>
      </c>
      <c r="D322" s="8" t="s">
        <v>23</v>
      </c>
      <c r="E322" s="59">
        <f>+[1]I.MODERN!C273</f>
        <v>528974.92000000004</v>
      </c>
      <c r="F322" s="60"/>
      <c r="G322" s="60"/>
      <c r="H322" s="61">
        <f>+[1]I.MODERN!F273</f>
        <v>612877.68000000005</v>
      </c>
      <c r="I322" s="61"/>
      <c r="J322" s="61"/>
      <c r="K322" s="61">
        <f>+[1]I.MODERN!I273</f>
        <v>535687.88</v>
      </c>
      <c r="L322" s="61"/>
      <c r="M322" s="61"/>
      <c r="N322" s="61">
        <f>+[1]I.MODERN!L273</f>
        <v>763906.36</v>
      </c>
      <c r="O322" s="61"/>
      <c r="P322" s="61"/>
      <c r="Q322" s="61">
        <f>+[1]I.MODERN!O273</f>
        <v>778590.86</v>
      </c>
      <c r="R322" s="61"/>
      <c r="S322" s="61"/>
      <c r="T322" s="61">
        <f>+[1]I.MODERN!R273</f>
        <v>657382.27</v>
      </c>
      <c r="U322" s="61"/>
      <c r="V322" s="61"/>
      <c r="W322" s="61">
        <f>+[1]I.MODERN!U273</f>
        <v>676638.68</v>
      </c>
      <c r="X322" s="61"/>
      <c r="Y322" s="61"/>
      <c r="Z322" s="61">
        <f>+[1]I.MODERN!X273</f>
        <v>0</v>
      </c>
      <c r="AA322" s="61"/>
      <c r="AB322" s="61"/>
      <c r="AC322" s="61">
        <f>+[1]I.MODERN!AA273</f>
        <v>0</v>
      </c>
      <c r="AD322" s="61"/>
      <c r="AE322" s="61"/>
      <c r="AF322" s="61">
        <f>+[1]I.MODERN!AD273</f>
        <v>0</v>
      </c>
      <c r="AG322" s="61"/>
      <c r="AH322" s="61"/>
      <c r="AI322" s="61">
        <f>+[1]I.MODERN!AG273</f>
        <v>0</v>
      </c>
      <c r="AJ322" s="62"/>
      <c r="AK322" s="62"/>
      <c r="AL322" s="114">
        <f>+[1]I.MODERN!AJ273</f>
        <v>0</v>
      </c>
    </row>
    <row r="323" spans="1:38" x14ac:dyDescent="0.25">
      <c r="A323" s="73" t="s">
        <v>67</v>
      </c>
      <c r="B323" s="6" t="s">
        <v>68</v>
      </c>
      <c r="C323" s="7" t="s">
        <v>51</v>
      </c>
      <c r="D323" s="8" t="s">
        <v>20</v>
      </c>
      <c r="E323" s="9"/>
      <c r="F323" s="10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2"/>
      <c r="AK323" s="12"/>
      <c r="AL323" s="74"/>
    </row>
    <row r="324" spans="1:38" x14ac:dyDescent="0.25">
      <c r="A324" s="85" t="s">
        <v>67</v>
      </c>
      <c r="B324" s="32" t="s">
        <v>68</v>
      </c>
      <c r="C324" s="33" t="s">
        <v>52</v>
      </c>
      <c r="D324" s="34" t="s">
        <v>23</v>
      </c>
      <c r="E324" s="24">
        <f>+[1]I.MODERN!C281</f>
        <v>786132.75352109608</v>
      </c>
      <c r="F324" s="25"/>
      <c r="G324" s="25"/>
      <c r="H324" s="26">
        <f>+[1]I.MODERN!F281</f>
        <v>842476.84301498788</v>
      </c>
      <c r="I324" s="26"/>
      <c r="J324" s="26"/>
      <c r="K324" s="26">
        <f>+[1]I.MODERN!I281</f>
        <v>795955.79317728127</v>
      </c>
      <c r="L324" s="26"/>
      <c r="M324" s="26"/>
      <c r="N324" s="26">
        <f>+[1]I.MODERN!L281</f>
        <v>788801.09636823635</v>
      </c>
      <c r="O324" s="26"/>
      <c r="P324" s="26"/>
      <c r="Q324" s="26">
        <f>+[1]I.MODERN!O281</f>
        <v>569864.18533649226</v>
      </c>
      <c r="R324" s="26"/>
      <c r="S324" s="26"/>
      <c r="T324" s="26">
        <f>+[1]I.MODERN!R281</f>
        <v>361916.21660851943</v>
      </c>
      <c r="U324" s="26"/>
      <c r="V324" s="26"/>
      <c r="W324" s="26">
        <f>+[1]I.MODERN!U281</f>
        <v>647234.8357418715</v>
      </c>
      <c r="X324" s="26"/>
      <c r="Y324" s="26"/>
      <c r="Z324" s="26">
        <f>+[1]I.MODERN!X281</f>
        <v>0</v>
      </c>
      <c r="AA324" s="26"/>
      <c r="AB324" s="26"/>
      <c r="AC324" s="26">
        <f>+[1]I.MODERN!AA281</f>
        <v>0</v>
      </c>
      <c r="AD324" s="26"/>
      <c r="AE324" s="26"/>
      <c r="AF324" s="26">
        <f>+[1]I.MODERN!AD281</f>
        <v>0</v>
      </c>
      <c r="AG324" s="26"/>
      <c r="AH324" s="26"/>
      <c r="AI324" s="26">
        <f>+[1]I.MODERN!AG281</f>
        <v>0</v>
      </c>
      <c r="AJ324" s="27"/>
      <c r="AK324" s="27"/>
      <c r="AL324" s="78">
        <f>+[1]I.MODERN!AJ281</f>
        <v>0</v>
      </c>
    </row>
    <row r="325" spans="1:38" x14ac:dyDescent="0.25">
      <c r="A325" s="85" t="s">
        <v>67</v>
      </c>
      <c r="B325" s="32" t="s">
        <v>68</v>
      </c>
      <c r="C325" s="33" t="s">
        <v>53</v>
      </c>
      <c r="D325" s="34" t="s">
        <v>23</v>
      </c>
      <c r="E325" s="28">
        <f>+[1]I.MODERN!C290-[1]I.MODERN!C223-[1]I.MODERN!C228-[1]I.MODERN!C245-[1]I.MODERN!C273-[1]I.MODERN!C281</f>
        <v>711995.39000000048</v>
      </c>
      <c r="F325" s="29"/>
      <c r="G325" s="29"/>
      <c r="H325" s="30">
        <f>+[1]I.MODERN!F290-[1]I.MODERN!F223-[1]I.MODERN!F228-[1]I.MODERN!F245-[1]I.MODERN!F273-[1]I.MODERN!F281</f>
        <v>1157374.8799999987</v>
      </c>
      <c r="I325" s="30"/>
      <c r="J325" s="30"/>
      <c r="K325" s="30">
        <f>+[1]I.MODERN!I290-[1]I.MODERN!I223-[1]I.MODERN!I228-[1]I.MODERN!I245-[1]I.MODERN!I273-[1]I.MODERN!I281</f>
        <v>793397.55</v>
      </c>
      <c r="L325" s="30"/>
      <c r="M325" s="30"/>
      <c r="N325" s="30">
        <f>+[1]I.MODERN!L290-[1]I.MODERN!L223-[1]I.MODERN!L228-[1]I.MODERN!L245-[1]I.MODERN!L273-[1]I.MODERN!L281</f>
        <v>830336.45999999961</v>
      </c>
      <c r="O325" s="30"/>
      <c r="P325" s="30"/>
      <c r="Q325" s="30">
        <f>+[1]I.MODERN!O290-[1]I.MODERN!O223-[1]I.MODERN!O228-[1]I.MODERN!O245-[1]I.MODERN!O273-[1]I.MODERN!O281</f>
        <v>862802.58000000031</v>
      </c>
      <c r="R325" s="30"/>
      <c r="S325" s="30"/>
      <c r="T325" s="30">
        <f>+[1]I.MODERN!R290-[1]I.MODERN!R223-[1]I.MODERN!R228-[1]I.MODERN!R245-[1]I.MODERN!R273-[1]I.MODERN!R281</f>
        <v>1428188.3699999994</v>
      </c>
      <c r="U325" s="30"/>
      <c r="V325" s="30"/>
      <c r="W325" s="30">
        <f>+[1]I.MODERN!U290-[1]I.MODERN!U223-[1]I.MODERN!U228-[1]I.MODERN!U245-[1]I.MODERN!U273-[1]I.MODERN!U281</f>
        <v>845822.75000000047</v>
      </c>
      <c r="X325" s="30"/>
      <c r="Y325" s="30"/>
      <c r="Z325" s="30">
        <f>+[1]I.MODERN!X290-[1]I.MODERN!X223-[1]I.MODERN!X228-[1]I.MODERN!X245-[1]I.MODERN!X273-[1]I.MODERN!X281</f>
        <v>0</v>
      </c>
      <c r="AA325" s="30"/>
      <c r="AB325" s="30"/>
      <c r="AC325" s="30">
        <f>+[1]I.MODERN!AA290-[1]I.MODERN!AA223-[1]I.MODERN!AA228-[1]I.MODERN!AA245-[1]I.MODERN!AA273-[1]I.MODERN!AA281</f>
        <v>0</v>
      </c>
      <c r="AD325" s="30"/>
      <c r="AE325" s="30"/>
      <c r="AF325" s="30">
        <f>+[1]I.MODERN!AD290-[1]I.MODERN!AD223-[1]I.MODERN!AD228-[1]I.MODERN!AD245-[1]I.MODERN!AD273-[1]I.MODERN!AD281</f>
        <v>0</v>
      </c>
      <c r="AG325" s="30"/>
      <c r="AH325" s="30"/>
      <c r="AI325" s="30">
        <f>+[1]I.MODERN!AG290-[1]I.MODERN!AG223-[1]I.MODERN!AG228-[1]I.MODERN!AG245-[1]I.MODERN!AG273-[1]I.MODERN!AG281</f>
        <v>0</v>
      </c>
      <c r="AJ325" s="31"/>
      <c r="AK325" s="31"/>
      <c r="AL325" s="79">
        <f>+[1]I.MODERN!AJ290-[1]I.MODERN!AJ223-[1]I.MODERN!AJ228-[1]I.MODERN!AJ245-[1]I.MODERN!AJ273-[1]I.MODERN!AJ281</f>
        <v>0</v>
      </c>
    </row>
    <row r="326" spans="1:38" x14ac:dyDescent="0.25">
      <c r="A326" s="85" t="s">
        <v>67</v>
      </c>
      <c r="B326" s="32" t="s">
        <v>68</v>
      </c>
      <c r="C326" s="33" t="s">
        <v>54</v>
      </c>
      <c r="D326" s="34" t="s">
        <v>23</v>
      </c>
      <c r="E326" s="59">
        <f>+E301+E302+E311+E313+E314+E315+E322+E324+E325</f>
        <v>5398654.2935210969</v>
      </c>
      <c r="F326" s="60"/>
      <c r="G326" s="60"/>
      <c r="H326" s="61">
        <f>+H301+H302+H311+H313+H314+H315+H322+H324+H325</f>
        <v>7117083.0330149867</v>
      </c>
      <c r="I326" s="61"/>
      <c r="J326" s="61"/>
      <c r="K326" s="61">
        <f>+K301+K302+K311+K313+K314+K315+K322+K324+K325</f>
        <v>6532526.2503512381</v>
      </c>
      <c r="L326" s="61"/>
      <c r="M326" s="61"/>
      <c r="N326" s="61">
        <f>+N301+N302+N311+N313+N314+N315+N322+N324+N325</f>
        <v>7427286.2149271257</v>
      </c>
      <c r="O326" s="61"/>
      <c r="P326" s="61"/>
      <c r="Q326" s="61">
        <f>+Q301+Q302+Q311+Q313+Q314+Q315+Q322+Q324+Q325</f>
        <v>7702362.4529600171</v>
      </c>
      <c r="R326" s="61"/>
      <c r="S326" s="61"/>
      <c r="T326" s="61">
        <f>+T301+T302+T311+T313+T314+T315+T322+T324+T325</f>
        <v>7864967.9354846617</v>
      </c>
      <c r="U326" s="61"/>
      <c r="V326" s="61"/>
      <c r="W326" s="61">
        <f>+W301+W302+W311+W313+W314+W315+W322+W324+W325</f>
        <v>7374096.7770035304</v>
      </c>
      <c r="X326" s="61"/>
      <c r="Y326" s="61"/>
      <c r="Z326" s="61">
        <f>+Z301+Z302+Z311+Z313+Z314+Z315+Z322+Z324+Z325</f>
        <v>0</v>
      </c>
      <c r="AA326" s="61"/>
      <c r="AB326" s="61"/>
      <c r="AC326" s="61">
        <f>+AC301+AC302+AC311+AC313+AC314+AC315+AC322+AC324+AC325</f>
        <v>0</v>
      </c>
      <c r="AD326" s="61"/>
      <c r="AE326" s="61"/>
      <c r="AF326" s="61">
        <f>+AF301+AF302+AF311+AF313+AF314+AF315+AF322+AF324+AF325</f>
        <v>0</v>
      </c>
      <c r="AG326" s="61"/>
      <c r="AH326" s="61"/>
      <c r="AI326" s="61">
        <f>+AI301+AI302+AI311+AI313+AI314+AI315+AI322+AI324+AI325</f>
        <v>0</v>
      </c>
      <c r="AJ326" s="62"/>
      <c r="AK326" s="62"/>
      <c r="AL326" s="114">
        <f>+AL301+AL302+AL311+AL313+AL314+AL315+AL322+AL324+AL325</f>
        <v>0</v>
      </c>
    </row>
    <row r="327" spans="1:38" ht="15.75" thickBot="1" x14ac:dyDescent="0.3">
      <c r="A327" s="115" t="s">
        <v>67</v>
      </c>
      <c r="B327" s="116" t="s">
        <v>68</v>
      </c>
      <c r="C327" s="117" t="s">
        <v>55</v>
      </c>
      <c r="D327" s="118" t="s">
        <v>23</v>
      </c>
      <c r="E327" s="119">
        <f>+E326-[1]I.MODERN!C290</f>
        <v>0</v>
      </c>
      <c r="F327" s="120"/>
      <c r="G327" s="120"/>
      <c r="H327" s="121">
        <f>+H326-[1]I.MODERN!F290</f>
        <v>0</v>
      </c>
      <c r="I327" s="121"/>
      <c r="J327" s="121"/>
      <c r="K327" s="121">
        <f>+K326-[1]I.MODERN!I290</f>
        <v>0</v>
      </c>
      <c r="L327" s="121"/>
      <c r="M327" s="121"/>
      <c r="N327" s="121">
        <f>+N326-[1]I.MODERN!L290</f>
        <v>0</v>
      </c>
      <c r="O327" s="121"/>
      <c r="P327" s="121"/>
      <c r="Q327" s="121">
        <f>+Q326-[1]I.MODERN!O290</f>
        <v>0</v>
      </c>
      <c r="R327" s="121"/>
      <c r="S327" s="121"/>
      <c r="T327" s="121">
        <f>+T326-[1]I.MODERN!R290</f>
        <v>0</v>
      </c>
      <c r="U327" s="121"/>
      <c r="V327" s="121"/>
      <c r="W327" s="121">
        <f>+W326-[1]I.MODERN!U290</f>
        <v>0</v>
      </c>
      <c r="X327" s="121"/>
      <c r="Y327" s="121"/>
      <c r="Z327" s="121">
        <f>+Z326-[1]I.MODERN!X290</f>
        <v>0</v>
      </c>
      <c r="AA327" s="121"/>
      <c r="AB327" s="121"/>
      <c r="AC327" s="121">
        <f>+AC326-[1]I.MODERN!AA290</f>
        <v>0</v>
      </c>
      <c r="AD327" s="121"/>
      <c r="AE327" s="121"/>
      <c r="AF327" s="121">
        <f>+AF326-[1]I.MODERN!AD290</f>
        <v>0</v>
      </c>
      <c r="AG327" s="121"/>
      <c r="AH327" s="121"/>
      <c r="AI327" s="121">
        <f>+AI326-[1]I.MODERN!AG290</f>
        <v>0</v>
      </c>
      <c r="AJ327" s="122"/>
      <c r="AK327" s="122"/>
      <c r="AL327" s="123">
        <f>+AL326-[1]I.MODERN!AJ290</f>
        <v>0</v>
      </c>
    </row>
    <row r="328" spans="1:38" x14ac:dyDescent="0.25">
      <c r="A328" s="64" t="s">
        <v>67</v>
      </c>
      <c r="B328" s="65" t="s">
        <v>69</v>
      </c>
      <c r="C328" s="66" t="s">
        <v>19</v>
      </c>
      <c r="D328" s="67" t="s">
        <v>20</v>
      </c>
      <c r="E328" s="68">
        <f>+[1]I.MODERN!C303</f>
        <v>4125</v>
      </c>
      <c r="F328" s="69"/>
      <c r="G328" s="69"/>
      <c r="H328" s="70">
        <f>+[1]I.MODERN!F303</f>
        <v>3778</v>
      </c>
      <c r="I328" s="70"/>
      <c r="J328" s="70"/>
      <c r="K328" s="70">
        <f>+[1]I.MODERN!I303</f>
        <v>3242</v>
      </c>
      <c r="L328" s="70"/>
      <c r="M328" s="70"/>
      <c r="N328" s="70">
        <f>+[1]I.MODERN!L303</f>
        <v>4094</v>
      </c>
      <c r="O328" s="70"/>
      <c r="P328" s="70"/>
      <c r="Q328" s="70">
        <f>+[1]I.MODERN!O303</f>
        <v>3846</v>
      </c>
      <c r="R328" s="70"/>
      <c r="S328" s="70"/>
      <c r="T328" s="70">
        <f>+[1]I.MODERN!R303</f>
        <v>2868</v>
      </c>
      <c r="U328" s="70"/>
      <c r="V328" s="70"/>
      <c r="W328" s="70">
        <f>+[1]I.MODERN!U303</f>
        <v>3516</v>
      </c>
      <c r="X328" s="70"/>
      <c r="Y328" s="70"/>
      <c r="Z328" s="70">
        <f>+[1]I.MODERN!X303</f>
        <v>0</v>
      </c>
      <c r="AA328" s="70"/>
      <c r="AB328" s="70"/>
      <c r="AC328" s="70">
        <f>+[1]I.MODERN!AA303</f>
        <v>0</v>
      </c>
      <c r="AD328" s="70"/>
      <c r="AE328" s="70"/>
      <c r="AF328" s="70">
        <f>+[1]I.MODERN!AD303</f>
        <v>0</v>
      </c>
      <c r="AG328" s="70"/>
      <c r="AH328" s="70"/>
      <c r="AI328" s="70">
        <f>+[1]I.MODERN!AG303</f>
        <v>0</v>
      </c>
      <c r="AJ328" s="71"/>
      <c r="AK328" s="71"/>
      <c r="AL328" s="72">
        <f>+[1]I.MODERN!AJ303</f>
        <v>0</v>
      </c>
    </row>
    <row r="329" spans="1:38" x14ac:dyDescent="0.25">
      <c r="A329" s="73" t="s">
        <v>67</v>
      </c>
      <c r="B329" s="6" t="s">
        <v>69</v>
      </c>
      <c r="C329" s="7" t="s">
        <v>21</v>
      </c>
      <c r="D329" s="8" t="s">
        <v>20</v>
      </c>
      <c r="E329" s="9"/>
      <c r="F329" s="10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2"/>
      <c r="AK329" s="12"/>
      <c r="AL329" s="74"/>
    </row>
    <row r="330" spans="1:38" x14ac:dyDescent="0.25">
      <c r="A330" s="73" t="s">
        <v>67</v>
      </c>
      <c r="B330" s="6" t="s">
        <v>69</v>
      </c>
      <c r="C330" s="7" t="s">
        <v>22</v>
      </c>
      <c r="D330" s="8" t="s">
        <v>23</v>
      </c>
      <c r="E330" s="13">
        <f>+[1]I.MODERN!C298</f>
        <v>294659.43999999965</v>
      </c>
      <c r="F330" s="14"/>
      <c r="G330" s="14"/>
      <c r="H330" s="15">
        <f>+[1]I.MODERN!F298</f>
        <v>281598.56999999919</v>
      </c>
      <c r="I330" s="14"/>
      <c r="J330" s="14"/>
      <c r="K330" s="13">
        <f>+[1]I.MODERN!I298</f>
        <v>310703.18000000133</v>
      </c>
      <c r="L330" s="14"/>
      <c r="M330" s="14"/>
      <c r="N330" s="15">
        <f>+[1]I.MODERN!L298</f>
        <v>354869.81000000052</v>
      </c>
      <c r="O330" s="15"/>
      <c r="P330" s="15"/>
      <c r="Q330" s="15">
        <f>+[1]I.MODERN!O298</f>
        <v>298461.03000000131</v>
      </c>
      <c r="R330" s="15"/>
      <c r="S330" s="15"/>
      <c r="T330" s="15">
        <f>+[1]I.MODERN!R298</f>
        <v>223557.50000000081</v>
      </c>
      <c r="U330" s="15"/>
      <c r="V330" s="15"/>
      <c r="W330" s="15">
        <f>+[1]I.MODERN!U298</f>
        <v>245074.32000000056</v>
      </c>
      <c r="X330" s="15"/>
      <c r="Y330" s="15"/>
      <c r="Z330" s="15">
        <f>+[1]I.MODERN!X298</f>
        <v>0</v>
      </c>
      <c r="AA330" s="15"/>
      <c r="AB330" s="15"/>
      <c r="AC330" s="15">
        <f>+[1]I.MODERN!AA298</f>
        <v>0</v>
      </c>
      <c r="AD330" s="15"/>
      <c r="AE330" s="15"/>
      <c r="AF330" s="15">
        <f>+[1]I.MODERN!AD298</f>
        <v>0</v>
      </c>
      <c r="AG330" s="15"/>
      <c r="AH330" s="15"/>
      <c r="AI330" s="15">
        <f>+[1]I.MODERN!AG298</f>
        <v>0</v>
      </c>
      <c r="AJ330" s="16"/>
      <c r="AK330" s="16"/>
      <c r="AL330" s="75">
        <f>+[1]I.MODERN!AJ298</f>
        <v>0</v>
      </c>
    </row>
    <row r="331" spans="1:38" x14ac:dyDescent="0.25">
      <c r="A331" s="73" t="s">
        <v>67</v>
      </c>
      <c r="B331" s="6" t="s">
        <v>69</v>
      </c>
      <c r="C331" s="7" t="s">
        <v>24</v>
      </c>
      <c r="D331" s="8" t="s">
        <v>23</v>
      </c>
      <c r="E331" s="13">
        <f>+[1]I.MODERN!C299</f>
        <v>496240.49000000156</v>
      </c>
      <c r="F331" s="17"/>
      <c r="G331" s="17"/>
      <c r="H331" s="18">
        <f>+[1]I.MODERN!F299</f>
        <v>562783.49999999872</v>
      </c>
      <c r="I331" s="18"/>
      <c r="J331" s="18"/>
      <c r="K331" s="18">
        <f>+[1]I.MODERN!I299</f>
        <v>508397.20000000059</v>
      </c>
      <c r="L331" s="18"/>
      <c r="M331" s="18"/>
      <c r="N331" s="18">
        <f>+[1]I.MODERN!L299</f>
        <v>651205.38999999722</v>
      </c>
      <c r="O331" s="18"/>
      <c r="P331" s="18"/>
      <c r="Q331" s="18">
        <f>+[1]I.MODERN!O299</f>
        <v>639085.78999999817</v>
      </c>
      <c r="R331" s="18"/>
      <c r="S331" s="18"/>
      <c r="T331" s="18">
        <f>+[1]I.MODERN!R299</f>
        <v>574121.7699999999</v>
      </c>
      <c r="U331" s="18"/>
      <c r="V331" s="18"/>
      <c r="W331" s="18">
        <f>+[1]I.MODERN!U299</f>
        <v>725182.66000000248</v>
      </c>
      <c r="X331" s="18"/>
      <c r="Y331" s="18"/>
      <c r="Z331" s="18">
        <f>+[1]I.MODERN!X299</f>
        <v>0</v>
      </c>
      <c r="AA331" s="18"/>
      <c r="AB331" s="18"/>
      <c r="AC331" s="18">
        <f>+[1]I.MODERN!AA299</f>
        <v>0</v>
      </c>
      <c r="AD331" s="18"/>
      <c r="AE331" s="18"/>
      <c r="AF331" s="18">
        <f>+[1]I.MODERN!AD299</f>
        <v>0</v>
      </c>
      <c r="AG331" s="18"/>
      <c r="AH331" s="18"/>
      <c r="AI331" s="18">
        <f>+[1]I.MODERN!AG299</f>
        <v>0</v>
      </c>
      <c r="AJ331" s="19"/>
      <c r="AK331" s="19"/>
      <c r="AL331" s="76">
        <f>+[1]I.MODERN!AJ299</f>
        <v>0</v>
      </c>
    </row>
    <row r="332" spans="1:38" x14ac:dyDescent="0.25">
      <c r="A332" s="73" t="s">
        <v>67</v>
      </c>
      <c r="B332" s="6" t="s">
        <v>69</v>
      </c>
      <c r="C332" s="7" t="s">
        <v>25</v>
      </c>
      <c r="D332" s="8" t="s">
        <v>23</v>
      </c>
      <c r="E332" s="20">
        <f>+[1]I.MODERN!C302-[1]I.MODERN!C298-[1]I.MODERN!C299</f>
        <v>0</v>
      </c>
      <c r="F332" s="21"/>
      <c r="G332" s="21"/>
      <c r="H332" s="22">
        <f>+[1]I.MODERN!F302-[1]I.MODERN!F298-[1]I.MODERN!F299</f>
        <v>0</v>
      </c>
      <c r="I332" s="22"/>
      <c r="J332" s="22"/>
      <c r="K332" s="22">
        <f>+[1]I.MODERN!I302-[1]I.MODERN!I298-[1]I.MODERN!I299</f>
        <v>0</v>
      </c>
      <c r="L332" s="22"/>
      <c r="M332" s="22"/>
      <c r="N332" s="22">
        <f>+[1]I.MODERN!L302-[1]I.MODERN!L298-[1]I.MODERN!L299</f>
        <v>0</v>
      </c>
      <c r="O332" s="22"/>
      <c r="P332" s="22"/>
      <c r="Q332" s="22">
        <f>+[1]I.MODERN!O302-[1]I.MODERN!O298-[1]I.MODERN!O299</f>
        <v>0</v>
      </c>
      <c r="R332" s="22"/>
      <c r="S332" s="22"/>
      <c r="T332" s="22">
        <f>+[1]I.MODERN!R302-[1]I.MODERN!R298-[1]I.MODERN!R299</f>
        <v>0</v>
      </c>
      <c r="U332" s="22"/>
      <c r="V332" s="22"/>
      <c r="W332" s="22">
        <f>+[1]I.MODERN!U302-[1]I.MODERN!U298-[1]I.MODERN!U299</f>
        <v>0</v>
      </c>
      <c r="X332" s="22"/>
      <c r="Y332" s="22"/>
      <c r="Z332" s="22">
        <f>+[1]I.MODERN!X302-[1]I.MODERN!X298-[1]I.MODERN!X299</f>
        <v>0</v>
      </c>
      <c r="AA332" s="22"/>
      <c r="AB332" s="22"/>
      <c r="AC332" s="22">
        <f>+[1]I.MODERN!AA302-[1]I.MODERN!AA298-[1]I.MODERN!AA299</f>
        <v>0</v>
      </c>
      <c r="AD332" s="22"/>
      <c r="AE332" s="22"/>
      <c r="AF332" s="22">
        <f>+[1]I.MODERN!AD302-[1]I.MODERN!AD298-[1]I.MODERN!AD299</f>
        <v>0</v>
      </c>
      <c r="AG332" s="22"/>
      <c r="AH332" s="22"/>
      <c r="AI332" s="22">
        <f>+[1]I.MODERN!AG302-[1]I.MODERN!AG298-[1]I.MODERN!AG299</f>
        <v>0</v>
      </c>
      <c r="AJ332" s="23"/>
      <c r="AK332" s="23"/>
      <c r="AL332" s="77">
        <f>+[1]I.MODERN!AJ302-[1]I.MODERN!AJ298-[1]I.MODERN!AJ299</f>
        <v>0</v>
      </c>
    </row>
    <row r="333" spans="1:38" x14ac:dyDescent="0.25">
      <c r="A333" s="73" t="s">
        <v>67</v>
      </c>
      <c r="B333" s="6" t="s">
        <v>69</v>
      </c>
      <c r="C333" s="7" t="s">
        <v>26</v>
      </c>
      <c r="D333" s="8" t="s">
        <v>23</v>
      </c>
      <c r="E333" s="24">
        <f>+[1]I.MODERN!C323</f>
        <v>103469.56</v>
      </c>
      <c r="F333" s="25"/>
      <c r="G333" s="25"/>
      <c r="H333" s="26">
        <f>+[1]I.MODERN!F323</f>
        <v>39901.94</v>
      </c>
      <c r="I333" s="26"/>
      <c r="J333" s="26"/>
      <c r="K333" s="26">
        <f>+[1]I.MODERN!I323</f>
        <v>43562.390000000007</v>
      </c>
      <c r="L333" s="26"/>
      <c r="M333" s="26"/>
      <c r="N333" s="26">
        <f>+[1]I.MODERN!L323</f>
        <v>118403.08</v>
      </c>
      <c r="O333" s="26"/>
      <c r="P333" s="26"/>
      <c r="Q333" s="26">
        <f>+[1]I.MODERN!O323</f>
        <v>58938.58</v>
      </c>
      <c r="R333" s="26"/>
      <c r="S333" s="26"/>
      <c r="T333" s="26">
        <f>+[1]I.MODERN!R323</f>
        <v>48052.810000000005</v>
      </c>
      <c r="U333" s="26"/>
      <c r="V333" s="26"/>
      <c r="W333" s="26">
        <f>+[1]I.MODERN!U323</f>
        <v>54480.02</v>
      </c>
      <c r="X333" s="26"/>
      <c r="Y333" s="26"/>
      <c r="Z333" s="26">
        <f>+[1]I.MODERN!X323</f>
        <v>0</v>
      </c>
      <c r="AA333" s="26"/>
      <c r="AB333" s="26"/>
      <c r="AC333" s="26">
        <f>+[1]I.MODERN!AA323</f>
        <v>0</v>
      </c>
      <c r="AD333" s="26"/>
      <c r="AE333" s="26"/>
      <c r="AF333" s="26">
        <f>+[1]I.MODERN!AD323</f>
        <v>0</v>
      </c>
      <c r="AG333" s="26"/>
      <c r="AH333" s="26"/>
      <c r="AI333" s="26">
        <f>+[1]I.MODERN!AG323</f>
        <v>0</v>
      </c>
      <c r="AJ333" s="27"/>
      <c r="AK333" s="27"/>
      <c r="AL333" s="78">
        <f>+[1]I.MODERN!AJ323</f>
        <v>0</v>
      </c>
    </row>
    <row r="334" spans="1:38" x14ac:dyDescent="0.25">
      <c r="A334" s="73" t="s">
        <v>67</v>
      </c>
      <c r="B334" s="6" t="s">
        <v>69</v>
      </c>
      <c r="C334" s="7" t="s">
        <v>27</v>
      </c>
      <c r="D334" s="8" t="s">
        <v>23</v>
      </c>
      <c r="E334" s="28">
        <f>+[1]I.MODERN!C324</f>
        <v>53318.76</v>
      </c>
      <c r="F334" s="29"/>
      <c r="G334" s="29"/>
      <c r="H334" s="30">
        <f>+[1]I.MODERN!F324</f>
        <v>57074.51</v>
      </c>
      <c r="I334" s="30"/>
      <c r="J334" s="30"/>
      <c r="K334" s="30">
        <f>+[1]I.MODERN!I324</f>
        <v>40175.450000000004</v>
      </c>
      <c r="L334" s="30"/>
      <c r="M334" s="30"/>
      <c r="N334" s="30">
        <f>+[1]I.MODERN!L324</f>
        <v>114563.78</v>
      </c>
      <c r="O334" s="30"/>
      <c r="P334" s="30"/>
      <c r="Q334" s="30">
        <f>+[1]I.MODERN!O324</f>
        <v>58270.59</v>
      </c>
      <c r="R334" s="30"/>
      <c r="S334" s="30"/>
      <c r="T334" s="30">
        <f>+[1]I.MODERN!R324</f>
        <v>91046.65</v>
      </c>
      <c r="U334" s="30"/>
      <c r="V334" s="30"/>
      <c r="W334" s="30">
        <f>+[1]I.MODERN!U324</f>
        <v>126028.17</v>
      </c>
      <c r="X334" s="30"/>
      <c r="Y334" s="30"/>
      <c r="Z334" s="30">
        <f>+[1]I.MODERN!X324</f>
        <v>0</v>
      </c>
      <c r="AA334" s="30"/>
      <c r="AB334" s="30"/>
      <c r="AC334" s="30">
        <f>+[1]I.MODERN!AA324</f>
        <v>0</v>
      </c>
      <c r="AD334" s="30"/>
      <c r="AE334" s="30"/>
      <c r="AF334" s="30">
        <f>+[1]I.MODERN!AD324</f>
        <v>0</v>
      </c>
      <c r="AG334" s="30"/>
      <c r="AH334" s="30"/>
      <c r="AI334" s="30">
        <f>+[1]I.MODERN!AG324</f>
        <v>0</v>
      </c>
      <c r="AJ334" s="31"/>
      <c r="AK334" s="31"/>
      <c r="AL334" s="79">
        <f>+[1]I.MODERN!AJ324</f>
        <v>0</v>
      </c>
    </row>
    <row r="335" spans="1:38" x14ac:dyDescent="0.25">
      <c r="A335" s="73" t="s">
        <v>67</v>
      </c>
      <c r="B335" s="6" t="s">
        <v>69</v>
      </c>
      <c r="C335" s="7" t="s">
        <v>28</v>
      </c>
      <c r="D335" s="8" t="s">
        <v>29</v>
      </c>
      <c r="E335" s="124">
        <f>+[1]I.MODERN!C307</f>
        <v>1</v>
      </c>
      <c r="F335" s="125"/>
      <c r="G335" s="125"/>
      <c r="H335" s="126">
        <f>+[1]I.MODERN!F307</f>
        <v>1.6</v>
      </c>
      <c r="I335" s="126"/>
      <c r="J335" s="126"/>
      <c r="K335" s="126">
        <f>+[1]I.MODERN!I307</f>
        <v>1.6</v>
      </c>
      <c r="L335" s="126"/>
      <c r="M335" s="126"/>
      <c r="N335" s="126">
        <f>+[1]I.MODERN!L307</f>
        <v>2</v>
      </c>
      <c r="O335" s="126"/>
      <c r="P335" s="126"/>
      <c r="Q335" s="126">
        <f>+[1]I.MODERN!O307</f>
        <v>2.37</v>
      </c>
      <c r="R335" s="126"/>
      <c r="S335" s="126"/>
      <c r="T335" s="126">
        <f>+[1]I.MODERN!R307</f>
        <v>3</v>
      </c>
      <c r="U335" s="126"/>
      <c r="V335" s="126"/>
      <c r="W335" s="126">
        <f>+[1]I.MODERN!U307</f>
        <v>3</v>
      </c>
      <c r="X335" s="126"/>
      <c r="Y335" s="126"/>
      <c r="Z335" s="126">
        <f>+[1]I.MODERN!X307</f>
        <v>0</v>
      </c>
      <c r="AA335" s="126"/>
      <c r="AB335" s="126"/>
      <c r="AC335" s="126">
        <f>+[1]I.MODERN!AA307</f>
        <v>0</v>
      </c>
      <c r="AD335" s="126"/>
      <c r="AE335" s="126"/>
      <c r="AF335" s="126">
        <f>+[1]I.MODERN!AD307</f>
        <v>0</v>
      </c>
      <c r="AG335" s="126"/>
      <c r="AH335" s="126"/>
      <c r="AI335" s="126">
        <f>+[1]I.MODERN!AG307</f>
        <v>0</v>
      </c>
      <c r="AJ335" s="127"/>
      <c r="AK335" s="127"/>
      <c r="AL335" s="128">
        <f>+[1]I.MODERN!AJ307</f>
        <v>0</v>
      </c>
    </row>
    <row r="336" spans="1:38" x14ac:dyDescent="0.25">
      <c r="A336" s="85" t="s">
        <v>67</v>
      </c>
      <c r="B336" s="32" t="s">
        <v>69</v>
      </c>
      <c r="C336" s="33" t="s">
        <v>30</v>
      </c>
      <c r="D336" s="34" t="s">
        <v>29</v>
      </c>
      <c r="E336" s="129">
        <f>+[1]I.MODERN!C308</f>
        <v>0</v>
      </c>
      <c r="F336" s="130"/>
      <c r="G336" s="130"/>
      <c r="H336" s="131">
        <f>+[1]I.MODERN!F308</f>
        <v>0</v>
      </c>
      <c r="I336" s="131"/>
      <c r="J336" s="131"/>
      <c r="K336" s="131">
        <f>+[1]I.MODERN!I308</f>
        <v>0</v>
      </c>
      <c r="L336" s="131"/>
      <c r="M336" s="131"/>
      <c r="N336" s="131">
        <f>+[1]I.MODERN!L308</f>
        <v>0</v>
      </c>
      <c r="O336" s="131"/>
      <c r="P336" s="131"/>
      <c r="Q336" s="131">
        <f>+[1]I.MODERN!O308</f>
        <v>0</v>
      </c>
      <c r="R336" s="131"/>
      <c r="S336" s="131"/>
      <c r="T336" s="131">
        <f>+[1]I.MODERN!R308</f>
        <v>0</v>
      </c>
      <c r="U336" s="131"/>
      <c r="V336" s="131"/>
      <c r="W336" s="131">
        <f>+[1]I.MODERN!U308</f>
        <v>0</v>
      </c>
      <c r="X336" s="131"/>
      <c r="Y336" s="131"/>
      <c r="Z336" s="131">
        <f>+[1]I.MODERN!X308</f>
        <v>0</v>
      </c>
      <c r="AA336" s="131"/>
      <c r="AB336" s="131"/>
      <c r="AC336" s="131">
        <f>+[1]I.MODERN!AA308</f>
        <v>0</v>
      </c>
      <c r="AD336" s="131"/>
      <c r="AE336" s="131"/>
      <c r="AF336" s="131">
        <f>+[1]I.MODERN!AD308</f>
        <v>0</v>
      </c>
      <c r="AG336" s="131"/>
      <c r="AH336" s="131"/>
      <c r="AI336" s="131">
        <f>+[1]I.MODERN!AG308</f>
        <v>0</v>
      </c>
      <c r="AJ336" s="132"/>
      <c r="AK336" s="132"/>
      <c r="AL336" s="133">
        <f>+[1]I.MODERN!AJ308</f>
        <v>0</v>
      </c>
    </row>
    <row r="337" spans="1:38" x14ac:dyDescent="0.25">
      <c r="A337" s="85" t="s">
        <v>67</v>
      </c>
      <c r="B337" s="32" t="s">
        <v>69</v>
      </c>
      <c r="C337" s="33" t="s">
        <v>31</v>
      </c>
      <c r="D337" s="34" t="s">
        <v>29</v>
      </c>
      <c r="E337" s="129">
        <f>+[1]I.MODERN!C309</f>
        <v>0</v>
      </c>
      <c r="F337" s="130"/>
      <c r="G337" s="130"/>
      <c r="H337" s="131">
        <f>+[1]I.MODERN!F309</f>
        <v>0</v>
      </c>
      <c r="I337" s="131"/>
      <c r="J337" s="131"/>
      <c r="K337" s="131">
        <f>+[1]I.MODERN!I309</f>
        <v>0</v>
      </c>
      <c r="L337" s="131"/>
      <c r="M337" s="131"/>
      <c r="N337" s="131">
        <f>+[1]I.MODERN!L309</f>
        <v>0</v>
      </c>
      <c r="O337" s="131"/>
      <c r="P337" s="131"/>
      <c r="Q337" s="131">
        <f>+[1]I.MODERN!O309</f>
        <v>0</v>
      </c>
      <c r="R337" s="131"/>
      <c r="S337" s="131"/>
      <c r="T337" s="131">
        <f>+[1]I.MODERN!R309</f>
        <v>0</v>
      </c>
      <c r="U337" s="131"/>
      <c r="V337" s="131"/>
      <c r="W337" s="131">
        <f>+[1]I.MODERN!U309</f>
        <v>0</v>
      </c>
      <c r="X337" s="131"/>
      <c r="Y337" s="131"/>
      <c r="Z337" s="131">
        <f>+[1]I.MODERN!X309</f>
        <v>0</v>
      </c>
      <c r="AA337" s="131"/>
      <c r="AB337" s="131"/>
      <c r="AC337" s="131">
        <f>+[1]I.MODERN!AA309</f>
        <v>0</v>
      </c>
      <c r="AD337" s="131"/>
      <c r="AE337" s="131"/>
      <c r="AF337" s="131">
        <f>+[1]I.MODERN!AD309</f>
        <v>0</v>
      </c>
      <c r="AG337" s="131"/>
      <c r="AH337" s="131"/>
      <c r="AI337" s="131">
        <f>+[1]I.MODERN!AG309</f>
        <v>0</v>
      </c>
      <c r="AJ337" s="132"/>
      <c r="AK337" s="132"/>
      <c r="AL337" s="133">
        <f>+[1]I.MODERN!AJ309</f>
        <v>0</v>
      </c>
    </row>
    <row r="338" spans="1:38" x14ac:dyDescent="0.25">
      <c r="A338" s="85" t="s">
        <v>67</v>
      </c>
      <c r="B338" s="32" t="s">
        <v>69</v>
      </c>
      <c r="C338" s="33" t="s">
        <v>32</v>
      </c>
      <c r="D338" s="34" t="s">
        <v>29</v>
      </c>
      <c r="E338" s="129">
        <f>+[1]I.MODERN!C310</f>
        <v>0</v>
      </c>
      <c r="F338" s="130"/>
      <c r="G338" s="130"/>
      <c r="H338" s="131">
        <f>+[1]I.MODERN!F310</f>
        <v>0</v>
      </c>
      <c r="I338" s="131"/>
      <c r="J338" s="131"/>
      <c r="K338" s="131">
        <f>+[1]I.MODERN!I310</f>
        <v>0</v>
      </c>
      <c r="L338" s="131"/>
      <c r="M338" s="131"/>
      <c r="N338" s="131">
        <f>+[1]I.MODERN!L310</f>
        <v>0</v>
      </c>
      <c r="O338" s="131"/>
      <c r="P338" s="131"/>
      <c r="Q338" s="131">
        <f>+[1]I.MODERN!O310</f>
        <v>0</v>
      </c>
      <c r="R338" s="131"/>
      <c r="S338" s="131"/>
      <c r="T338" s="131">
        <f>+[1]I.MODERN!R310</f>
        <v>0</v>
      </c>
      <c r="U338" s="131"/>
      <c r="V338" s="131"/>
      <c r="W338" s="131">
        <f>+[1]I.MODERN!U310</f>
        <v>0</v>
      </c>
      <c r="X338" s="131"/>
      <c r="Y338" s="131"/>
      <c r="Z338" s="131">
        <f>+[1]I.MODERN!X310</f>
        <v>0</v>
      </c>
      <c r="AA338" s="131"/>
      <c r="AB338" s="131"/>
      <c r="AC338" s="131">
        <f>+[1]I.MODERN!AA310</f>
        <v>0</v>
      </c>
      <c r="AD338" s="131"/>
      <c r="AE338" s="131"/>
      <c r="AF338" s="131">
        <f>+[1]I.MODERN!AD310</f>
        <v>0</v>
      </c>
      <c r="AG338" s="131"/>
      <c r="AH338" s="131"/>
      <c r="AI338" s="131">
        <f>+[1]I.MODERN!AG310</f>
        <v>0</v>
      </c>
      <c r="AJ338" s="132"/>
      <c r="AK338" s="132"/>
      <c r="AL338" s="133">
        <f>+[1]I.MODERN!AJ310</f>
        <v>0</v>
      </c>
    </row>
    <row r="339" spans="1:38" x14ac:dyDescent="0.25">
      <c r="A339" s="85" t="s">
        <v>67</v>
      </c>
      <c r="B339" s="32" t="s">
        <v>69</v>
      </c>
      <c r="C339" s="33" t="s">
        <v>33</v>
      </c>
      <c r="D339" s="34" t="s">
        <v>29</v>
      </c>
      <c r="E339" s="129">
        <f>SUM(E335:E338)</f>
        <v>1</v>
      </c>
      <c r="F339" s="130"/>
      <c r="G339" s="130"/>
      <c r="H339" s="129">
        <f>SUM(H335:H338)</f>
        <v>1.6</v>
      </c>
      <c r="I339" s="131"/>
      <c r="J339" s="131"/>
      <c r="K339" s="129">
        <f>SUM(K335:K338)</f>
        <v>1.6</v>
      </c>
      <c r="L339" s="131"/>
      <c r="M339" s="131"/>
      <c r="N339" s="129">
        <f>SUM(N335:N338)</f>
        <v>2</v>
      </c>
      <c r="O339" s="131"/>
      <c r="P339" s="131"/>
      <c r="Q339" s="129">
        <f>SUM(Q335:Q338)</f>
        <v>2.37</v>
      </c>
      <c r="R339" s="131"/>
      <c r="S339" s="131"/>
      <c r="T339" s="129">
        <f>SUM(T335:T338)</f>
        <v>3</v>
      </c>
      <c r="U339" s="131"/>
      <c r="V339" s="131"/>
      <c r="W339" s="129">
        <f>SUM(W335:W338)</f>
        <v>3</v>
      </c>
      <c r="X339" s="131"/>
      <c r="Y339" s="131"/>
      <c r="Z339" s="129">
        <f>SUM(Z335:Z338)</f>
        <v>0</v>
      </c>
      <c r="AA339" s="131"/>
      <c r="AB339" s="131"/>
      <c r="AC339" s="129">
        <f>SUM(AC335:AC338)</f>
        <v>0</v>
      </c>
      <c r="AD339" s="131"/>
      <c r="AE339" s="131"/>
      <c r="AF339" s="129">
        <f>SUM(AF335:AF338)</f>
        <v>0</v>
      </c>
      <c r="AG339" s="131"/>
      <c r="AH339" s="131"/>
      <c r="AI339" s="129">
        <f>SUM(AI335:AI338)</f>
        <v>0</v>
      </c>
      <c r="AJ339" s="132"/>
      <c r="AK339" s="132"/>
      <c r="AL339" s="134">
        <f>SUM(AL335:AL338)</f>
        <v>0</v>
      </c>
    </row>
    <row r="340" spans="1:38" x14ac:dyDescent="0.25">
      <c r="A340" s="85" t="s">
        <v>67</v>
      </c>
      <c r="B340" s="32" t="s">
        <v>69</v>
      </c>
      <c r="C340" s="33" t="s">
        <v>34</v>
      </c>
      <c r="D340" s="34" t="s">
        <v>23</v>
      </c>
      <c r="E340" s="35">
        <f>+[1]I.MODERN!C314+[1]I.MODERN!C315+[1]I.MODERN!C316+[1]I.MODERN!C317</f>
        <v>86785.640000000014</v>
      </c>
      <c r="F340" s="36"/>
      <c r="G340" s="36"/>
      <c r="H340" s="35">
        <f>+[1]I.MODERN!F314+[1]I.MODERN!F315+[1]I.MODERN!F316+[1]I.MODERN!F317</f>
        <v>82576.290000000008</v>
      </c>
      <c r="I340" s="18"/>
      <c r="J340" s="18"/>
      <c r="K340" s="35">
        <f>+[1]I.MODERN!I314+[1]I.MODERN!I315+[1]I.MODERN!I316+[1]I.MODERN!I317</f>
        <v>88470.346761355147</v>
      </c>
      <c r="L340" s="18"/>
      <c r="M340" s="18"/>
      <c r="N340" s="35">
        <f>+[1]I.MODERN!L314+[1]I.MODERN!L315+[1]I.MODERN!L316+[1]I.MODERN!L317</f>
        <v>88862.30417985536</v>
      </c>
      <c r="O340" s="18"/>
      <c r="P340" s="18"/>
      <c r="Q340" s="35">
        <f>+[1]I.MODERN!O314+[1]I.MODERN!O315+[1]I.MODERN!O316+[1]I.MODERN!O317</f>
        <v>98105.477212410246</v>
      </c>
      <c r="R340" s="18"/>
      <c r="S340" s="18"/>
      <c r="T340" s="35">
        <f>+[1]I.MODERN!R314+[1]I.MODERN!R315+[1]I.MODERN!R316+[1]I.MODERN!R317</f>
        <v>93616.638333624476</v>
      </c>
      <c r="U340" s="18"/>
      <c r="V340" s="18"/>
      <c r="W340" s="35">
        <f>+[1]I.MODERN!U314+[1]I.MODERN!U315+[1]I.MODERN!U316+[1]I.MODERN!U317</f>
        <v>89877.491687225454</v>
      </c>
      <c r="X340" s="18"/>
      <c r="Y340" s="18"/>
      <c r="Z340" s="35">
        <f>+[1]I.MODERN!X314+[1]I.MODERN!X315+[1]I.MODERN!X316+[1]I.MODERN!X317</f>
        <v>0</v>
      </c>
      <c r="AA340" s="18"/>
      <c r="AB340" s="18"/>
      <c r="AC340" s="35">
        <f>+[1]I.MODERN!AA314+[1]I.MODERN!AA315+[1]I.MODERN!AA316+[1]I.MODERN!AA317</f>
        <v>0</v>
      </c>
      <c r="AD340" s="18"/>
      <c r="AE340" s="18"/>
      <c r="AF340" s="35">
        <f>+[1]I.MODERN!AD314+[1]I.MODERN!AD315+[1]I.MODERN!AD316+[1]I.MODERN!AD317</f>
        <v>0</v>
      </c>
      <c r="AG340" s="18"/>
      <c r="AH340" s="18"/>
      <c r="AI340" s="35">
        <f>+[1]I.MODERN!AG314+[1]I.MODERN!AG315+[1]I.MODERN!AG316+[1]I.MODERN!AG317</f>
        <v>0</v>
      </c>
      <c r="AJ340" s="19"/>
      <c r="AK340" s="19"/>
      <c r="AL340" s="92">
        <f>+[1]I.MODERN!AJ314+[1]I.MODERN!AJ315+[1]I.MODERN!AJ316+[1]I.MODERN!AJ317</f>
        <v>0</v>
      </c>
    </row>
    <row r="341" spans="1:38" x14ac:dyDescent="0.25">
      <c r="A341" s="85" t="s">
        <v>67</v>
      </c>
      <c r="B341" s="32" t="s">
        <v>69</v>
      </c>
      <c r="C341" s="33" t="s">
        <v>35</v>
      </c>
      <c r="D341" s="34" t="s">
        <v>23</v>
      </c>
      <c r="E341" s="35">
        <f>+[1]I.MODERN!C318</f>
        <v>0</v>
      </c>
      <c r="F341" s="36"/>
      <c r="G341" s="36"/>
      <c r="H341" s="35">
        <f>+[1]I.MODERN!F318</f>
        <v>0</v>
      </c>
      <c r="I341" s="18"/>
      <c r="J341" s="18"/>
      <c r="K341" s="35">
        <f>+[1]I.MODERN!I318</f>
        <v>0</v>
      </c>
      <c r="L341" s="18"/>
      <c r="M341" s="18"/>
      <c r="N341" s="35">
        <f>+[1]I.MODERN!L318</f>
        <v>0</v>
      </c>
      <c r="O341" s="18"/>
      <c r="P341" s="18"/>
      <c r="Q341" s="35">
        <f>+[1]I.MODERN!O318</f>
        <v>0</v>
      </c>
      <c r="R341" s="18"/>
      <c r="S341" s="18"/>
      <c r="T341" s="35">
        <f>+[1]I.MODERN!R318</f>
        <v>0</v>
      </c>
      <c r="U341" s="18"/>
      <c r="V341" s="18"/>
      <c r="W341" s="35">
        <f>+[1]I.MODERN!U318</f>
        <v>0</v>
      </c>
      <c r="X341" s="18"/>
      <c r="Y341" s="18"/>
      <c r="Z341" s="35">
        <f>+[1]I.MODERN!X318</f>
        <v>0</v>
      </c>
      <c r="AA341" s="18"/>
      <c r="AB341" s="18"/>
      <c r="AC341" s="35">
        <f>+[1]I.MODERN!AA318</f>
        <v>0</v>
      </c>
      <c r="AD341" s="18"/>
      <c r="AE341" s="18"/>
      <c r="AF341" s="35">
        <f>+[1]I.MODERN!AD318</f>
        <v>0</v>
      </c>
      <c r="AG341" s="18"/>
      <c r="AH341" s="18"/>
      <c r="AI341" s="35">
        <f>+[1]I.MODERN!AG318</f>
        <v>0</v>
      </c>
      <c r="AJ341" s="19"/>
      <c r="AK341" s="19"/>
      <c r="AL341" s="92">
        <f>+[1]I.MODERN!AJ318</f>
        <v>0</v>
      </c>
    </row>
    <row r="342" spans="1:38" x14ac:dyDescent="0.25">
      <c r="A342" s="85" t="s">
        <v>67</v>
      </c>
      <c r="B342" s="32" t="s">
        <v>69</v>
      </c>
      <c r="C342" s="33" t="s">
        <v>36</v>
      </c>
      <c r="D342" s="34" t="s">
        <v>23</v>
      </c>
      <c r="E342" s="35">
        <f>+[1]I.MODERN!C319</f>
        <v>14552</v>
      </c>
      <c r="F342" s="36"/>
      <c r="G342" s="36"/>
      <c r="H342" s="35">
        <f>+[1]I.MODERN!F319</f>
        <v>14552</v>
      </c>
      <c r="I342" s="18"/>
      <c r="J342" s="18"/>
      <c r="K342" s="35">
        <f>+[1]I.MODERN!I319</f>
        <v>14552</v>
      </c>
      <c r="L342" s="18"/>
      <c r="M342" s="18"/>
      <c r="N342" s="35">
        <f>+[1]I.MODERN!L319</f>
        <v>14552</v>
      </c>
      <c r="O342" s="18"/>
      <c r="P342" s="18"/>
      <c r="Q342" s="35">
        <f>+[1]I.MODERN!O319</f>
        <v>14552</v>
      </c>
      <c r="R342" s="18"/>
      <c r="S342" s="18"/>
      <c r="T342" s="35">
        <f>+[1]I.MODERN!R319</f>
        <v>19298</v>
      </c>
      <c r="U342" s="18"/>
      <c r="V342" s="18"/>
      <c r="W342" s="35">
        <f>+[1]I.MODERN!U319</f>
        <v>19298</v>
      </c>
      <c r="X342" s="18"/>
      <c r="Y342" s="18"/>
      <c r="Z342" s="35">
        <f>+[1]I.MODERN!X319</f>
        <v>0</v>
      </c>
      <c r="AA342" s="18"/>
      <c r="AB342" s="18"/>
      <c r="AC342" s="35">
        <f>+[1]I.MODERN!AA319</f>
        <v>0</v>
      </c>
      <c r="AD342" s="18"/>
      <c r="AE342" s="18"/>
      <c r="AF342" s="35">
        <f>+[1]I.MODERN!AD319</f>
        <v>0</v>
      </c>
      <c r="AG342" s="18"/>
      <c r="AH342" s="18"/>
      <c r="AI342" s="35">
        <f>+[1]I.MODERN!AG319</f>
        <v>0</v>
      </c>
      <c r="AJ342" s="19"/>
      <c r="AK342" s="19"/>
      <c r="AL342" s="92">
        <f>+[1]I.MODERN!AJ319</f>
        <v>0</v>
      </c>
    </row>
    <row r="343" spans="1:38" x14ac:dyDescent="0.25">
      <c r="A343" s="85" t="s">
        <v>67</v>
      </c>
      <c r="B343" s="32" t="s">
        <v>69</v>
      </c>
      <c r="C343" s="33" t="s">
        <v>37</v>
      </c>
      <c r="D343" s="34" t="s">
        <v>23</v>
      </c>
      <c r="E343" s="37">
        <f>SUM(E340:E342)</f>
        <v>101337.64000000001</v>
      </c>
      <c r="F343" s="38"/>
      <c r="G343" s="38"/>
      <c r="H343" s="37">
        <f>SUM(H340:H342)</f>
        <v>97128.290000000008</v>
      </c>
      <c r="I343" s="39"/>
      <c r="J343" s="39"/>
      <c r="K343" s="37">
        <f>SUM(K340:K342)</f>
        <v>103022.34676135515</v>
      </c>
      <c r="L343" s="39"/>
      <c r="M343" s="39"/>
      <c r="N343" s="37">
        <f>SUM(N340:N342)</f>
        <v>103414.30417985536</v>
      </c>
      <c r="O343" s="39"/>
      <c r="P343" s="39"/>
      <c r="Q343" s="37">
        <f>SUM(Q340:Q342)</f>
        <v>112657.47721241025</v>
      </c>
      <c r="R343" s="39"/>
      <c r="S343" s="39"/>
      <c r="T343" s="37">
        <f>SUM(T340:T342)</f>
        <v>112914.63833362448</v>
      </c>
      <c r="U343" s="39"/>
      <c r="V343" s="39"/>
      <c r="W343" s="37">
        <f>SUM(W340:W342)</f>
        <v>109175.49168722545</v>
      </c>
      <c r="X343" s="39"/>
      <c r="Y343" s="39"/>
      <c r="Z343" s="37">
        <f>SUM(Z340:Z342)</f>
        <v>0</v>
      </c>
      <c r="AA343" s="39"/>
      <c r="AB343" s="39"/>
      <c r="AC343" s="37">
        <f>SUM(AC340:AC342)</f>
        <v>0</v>
      </c>
      <c r="AD343" s="39"/>
      <c r="AE343" s="39"/>
      <c r="AF343" s="37">
        <f>SUM(AF340:AF342)</f>
        <v>0</v>
      </c>
      <c r="AG343" s="39"/>
      <c r="AH343" s="39"/>
      <c r="AI343" s="37">
        <f>SUM(AI340:AI342)</f>
        <v>0</v>
      </c>
      <c r="AJ343" s="40"/>
      <c r="AK343" s="40"/>
      <c r="AL343" s="93">
        <f>SUM(AL340:AL342)</f>
        <v>0</v>
      </c>
    </row>
    <row r="344" spans="1:38" x14ac:dyDescent="0.25">
      <c r="A344" s="73" t="s">
        <v>67</v>
      </c>
      <c r="B344" s="6" t="s">
        <v>69</v>
      </c>
      <c r="C344" s="7" t="s">
        <v>38</v>
      </c>
      <c r="D344" s="8" t="s">
        <v>23</v>
      </c>
      <c r="E344" s="28">
        <f>IFERROR(E343/E339,0)</f>
        <v>101337.64000000001</v>
      </c>
      <c r="F344" s="29"/>
      <c r="G344" s="29"/>
      <c r="H344" s="28">
        <f>IFERROR(H343/H339,0)</f>
        <v>60705.181250000001</v>
      </c>
      <c r="I344" s="30"/>
      <c r="J344" s="30"/>
      <c r="K344" s="28">
        <f>IFERROR(K343/K339,0)</f>
        <v>64388.966725846964</v>
      </c>
      <c r="L344" s="30"/>
      <c r="M344" s="30"/>
      <c r="N344" s="28">
        <f>IFERROR(N343/N339,0)</f>
        <v>51707.15208992768</v>
      </c>
      <c r="O344" s="30"/>
      <c r="P344" s="30"/>
      <c r="Q344" s="28">
        <f>IFERROR(Q343/Q339,0)</f>
        <v>47534.800511565503</v>
      </c>
      <c r="R344" s="30"/>
      <c r="S344" s="30"/>
      <c r="T344" s="28">
        <f>IFERROR(T343/T339,0)</f>
        <v>37638.212777874825</v>
      </c>
      <c r="U344" s="30"/>
      <c r="V344" s="30"/>
      <c r="W344" s="28">
        <f>IFERROR(W343/W339,0)</f>
        <v>36391.830562408482</v>
      </c>
      <c r="X344" s="30"/>
      <c r="Y344" s="30"/>
      <c r="Z344" s="28">
        <f>IFERROR(Z343/Z339,0)</f>
        <v>0</v>
      </c>
      <c r="AA344" s="30"/>
      <c r="AB344" s="30"/>
      <c r="AC344" s="28">
        <f>IFERROR(AC343/AC339,0)</f>
        <v>0</v>
      </c>
      <c r="AD344" s="30"/>
      <c r="AE344" s="30"/>
      <c r="AF344" s="28">
        <f>IFERROR(AF343/AF339,0)</f>
        <v>0</v>
      </c>
      <c r="AG344" s="30"/>
      <c r="AH344" s="30"/>
      <c r="AI344" s="28">
        <f>IFERROR(AI343/AI339,0)</f>
        <v>0</v>
      </c>
      <c r="AJ344" s="31"/>
      <c r="AK344" s="31"/>
      <c r="AL344" s="94">
        <f>IFERROR(AL343/AL339,0)</f>
        <v>0</v>
      </c>
    </row>
    <row r="345" spans="1:38" x14ac:dyDescent="0.25">
      <c r="A345" s="73" t="s">
        <v>67</v>
      </c>
      <c r="B345" s="6" t="s">
        <v>69</v>
      </c>
      <c r="C345" s="7" t="s">
        <v>39</v>
      </c>
      <c r="D345" s="8" t="s">
        <v>23</v>
      </c>
      <c r="E345" s="41">
        <f>+[1]I.MODERN!C343</f>
        <v>7146</v>
      </c>
      <c r="F345" s="42"/>
      <c r="G345" s="42"/>
      <c r="H345" s="43">
        <f>+[1]I.MODERN!F343</f>
        <v>5606</v>
      </c>
      <c r="I345" s="43"/>
      <c r="J345" s="43"/>
      <c r="K345" s="43">
        <f>+[1]I.MODERN!I343</f>
        <v>5129</v>
      </c>
      <c r="L345" s="43"/>
      <c r="M345" s="43"/>
      <c r="N345" s="43">
        <f>+[1]I.MODERN!L343</f>
        <v>6021</v>
      </c>
      <c r="O345" s="43"/>
      <c r="P345" s="43"/>
      <c r="Q345" s="43">
        <f>+[1]I.MODERN!O343</f>
        <v>6191</v>
      </c>
      <c r="R345" s="43"/>
      <c r="S345" s="43"/>
      <c r="T345" s="43">
        <f>+[1]I.MODERN!R343</f>
        <v>6938</v>
      </c>
      <c r="U345" s="43"/>
      <c r="V345" s="43"/>
      <c r="W345" s="43">
        <f>+[1]I.MODERN!U343</f>
        <v>11803</v>
      </c>
      <c r="X345" s="43"/>
      <c r="Y345" s="43"/>
      <c r="Z345" s="43">
        <f>+[1]I.MODERN!X343</f>
        <v>0</v>
      </c>
      <c r="AA345" s="43"/>
      <c r="AB345" s="43"/>
      <c r="AC345" s="43">
        <f>+[1]I.MODERN!AA343</f>
        <v>0</v>
      </c>
      <c r="AD345" s="43"/>
      <c r="AE345" s="43"/>
      <c r="AF345" s="43">
        <f>+[1]I.MODERN!AD343</f>
        <v>0</v>
      </c>
      <c r="AG345" s="43"/>
      <c r="AH345" s="43"/>
      <c r="AI345" s="43">
        <f>+[1]I.MODERN!AG343</f>
        <v>0</v>
      </c>
      <c r="AJ345" s="44"/>
      <c r="AK345" s="44"/>
      <c r="AL345" s="95">
        <f>+[1]I.MODERN!AJ343</f>
        <v>0</v>
      </c>
    </row>
    <row r="346" spans="1:38" x14ac:dyDescent="0.25">
      <c r="A346" s="73" t="s">
        <v>67</v>
      </c>
      <c r="B346" s="6" t="s">
        <v>69</v>
      </c>
      <c r="C346" s="7" t="s">
        <v>40</v>
      </c>
      <c r="D346" s="34" t="s">
        <v>23</v>
      </c>
      <c r="E346" s="45">
        <f>+[1]I.MODERN!C344</f>
        <v>0</v>
      </c>
      <c r="F346" s="46"/>
      <c r="G346" s="46"/>
      <c r="H346" s="47">
        <f>+[1]I.MODERN!F344</f>
        <v>0</v>
      </c>
      <c r="I346" s="47"/>
      <c r="J346" s="47"/>
      <c r="K346" s="47">
        <f>+[1]I.MODERN!I344</f>
        <v>0</v>
      </c>
      <c r="L346" s="47"/>
      <c r="M346" s="47"/>
      <c r="N346" s="47">
        <f>+[1]I.MODERN!L344</f>
        <v>0</v>
      </c>
      <c r="O346" s="47"/>
      <c r="P346" s="47"/>
      <c r="Q346" s="47">
        <f>+[1]I.MODERN!O344</f>
        <v>0</v>
      </c>
      <c r="R346" s="47"/>
      <c r="S346" s="47"/>
      <c r="T346" s="47">
        <f>+[1]I.MODERN!R344</f>
        <v>0</v>
      </c>
      <c r="U346" s="47"/>
      <c r="V346" s="47"/>
      <c r="W346" s="47">
        <f>+[1]I.MODERN!U344</f>
        <v>0</v>
      </c>
      <c r="X346" s="47"/>
      <c r="Y346" s="47"/>
      <c r="Z346" s="47">
        <f>+[1]I.MODERN!X344</f>
        <v>0</v>
      </c>
      <c r="AA346" s="47"/>
      <c r="AB346" s="47"/>
      <c r="AC346" s="47">
        <f>+[1]I.MODERN!AA344</f>
        <v>0</v>
      </c>
      <c r="AD346" s="47"/>
      <c r="AE346" s="47"/>
      <c r="AF346" s="47">
        <f>+[1]I.MODERN!AD344</f>
        <v>0</v>
      </c>
      <c r="AG346" s="47"/>
      <c r="AH346" s="47"/>
      <c r="AI346" s="47">
        <f>+[1]I.MODERN!AG344</f>
        <v>0</v>
      </c>
      <c r="AJ346" s="48"/>
      <c r="AK346" s="48"/>
      <c r="AL346" s="96">
        <f>+[1]I.MODERN!AJ344</f>
        <v>0</v>
      </c>
    </row>
    <row r="347" spans="1:38" x14ac:dyDescent="0.25">
      <c r="A347" s="73" t="s">
        <v>67</v>
      </c>
      <c r="B347" s="6" t="s">
        <v>69</v>
      </c>
      <c r="C347" s="7" t="s">
        <v>41</v>
      </c>
      <c r="D347" s="34" t="s">
        <v>23</v>
      </c>
      <c r="E347" s="45">
        <f>+[1]I.MODERN!C345</f>
        <v>3115</v>
      </c>
      <c r="F347" s="46"/>
      <c r="G347" s="46"/>
      <c r="H347" s="47">
        <f>+[1]I.MODERN!F345</f>
        <v>3165</v>
      </c>
      <c r="I347" s="47"/>
      <c r="J347" s="47"/>
      <c r="K347" s="47">
        <f>+[1]I.MODERN!I345</f>
        <v>3288</v>
      </c>
      <c r="L347" s="47"/>
      <c r="M347" s="47"/>
      <c r="N347" s="47">
        <f>+[1]I.MODERN!L345</f>
        <v>4349</v>
      </c>
      <c r="O347" s="47"/>
      <c r="P347" s="47"/>
      <c r="Q347" s="47">
        <f>+[1]I.MODERN!O345</f>
        <v>4495</v>
      </c>
      <c r="R347" s="47"/>
      <c r="S347" s="47"/>
      <c r="T347" s="47">
        <f>+[1]I.MODERN!R345</f>
        <v>4031</v>
      </c>
      <c r="U347" s="47"/>
      <c r="V347" s="47"/>
      <c r="W347" s="47">
        <f>+[1]I.MODERN!U345</f>
        <v>4667</v>
      </c>
      <c r="X347" s="47"/>
      <c r="Y347" s="47"/>
      <c r="Z347" s="47">
        <f>+[1]I.MODERN!X345</f>
        <v>0</v>
      </c>
      <c r="AA347" s="47"/>
      <c r="AB347" s="47"/>
      <c r="AC347" s="47">
        <f>+[1]I.MODERN!AA345</f>
        <v>0</v>
      </c>
      <c r="AD347" s="47"/>
      <c r="AE347" s="47"/>
      <c r="AF347" s="47">
        <f>+[1]I.MODERN!AD345</f>
        <v>0</v>
      </c>
      <c r="AG347" s="47"/>
      <c r="AH347" s="47"/>
      <c r="AI347" s="47">
        <f>+[1]I.MODERN!AG345</f>
        <v>0</v>
      </c>
      <c r="AJ347" s="48"/>
      <c r="AK347" s="48"/>
      <c r="AL347" s="96">
        <f>+[1]I.MODERN!AJ345</f>
        <v>0</v>
      </c>
    </row>
    <row r="348" spans="1:38" x14ac:dyDescent="0.25">
      <c r="A348" s="73" t="s">
        <v>67</v>
      </c>
      <c r="B348" s="6" t="s">
        <v>69</v>
      </c>
      <c r="C348" s="7" t="s">
        <v>42</v>
      </c>
      <c r="D348" s="34" t="s">
        <v>43</v>
      </c>
      <c r="E348" s="97">
        <v>0</v>
      </c>
      <c r="F348" s="98"/>
      <c r="G348" s="98"/>
      <c r="H348" s="99">
        <v>0</v>
      </c>
      <c r="I348" s="99"/>
      <c r="J348" s="99"/>
      <c r="K348" s="99">
        <v>0</v>
      </c>
      <c r="L348" s="99"/>
      <c r="M348" s="99"/>
      <c r="N348" s="99">
        <v>0</v>
      </c>
      <c r="O348" s="99"/>
      <c r="P348" s="99"/>
      <c r="Q348" s="99">
        <v>0</v>
      </c>
      <c r="R348" s="99"/>
      <c r="S348" s="99"/>
      <c r="T348" s="99">
        <v>0</v>
      </c>
      <c r="U348" s="99"/>
      <c r="V348" s="99"/>
      <c r="W348" s="99">
        <v>0</v>
      </c>
      <c r="X348" s="99"/>
      <c r="Y348" s="99"/>
      <c r="Z348" s="99">
        <v>0</v>
      </c>
      <c r="AA348" s="99"/>
      <c r="AB348" s="99"/>
      <c r="AC348" s="99">
        <v>0</v>
      </c>
      <c r="AD348" s="99"/>
      <c r="AE348" s="99"/>
      <c r="AF348" s="99">
        <v>0</v>
      </c>
      <c r="AG348" s="99"/>
      <c r="AH348" s="99"/>
      <c r="AI348" s="99">
        <v>0</v>
      </c>
      <c r="AJ348" s="100"/>
      <c r="AK348" s="100"/>
      <c r="AL348" s="101">
        <v>0</v>
      </c>
    </row>
    <row r="349" spans="1:38" x14ac:dyDescent="0.25">
      <c r="A349" s="73" t="s">
        <v>67</v>
      </c>
      <c r="B349" s="6" t="s">
        <v>69</v>
      </c>
      <c r="C349" s="7" t="s">
        <v>44</v>
      </c>
      <c r="D349" s="34" t="s">
        <v>45</v>
      </c>
      <c r="E349" s="102">
        <v>0</v>
      </c>
      <c r="F349" s="103"/>
      <c r="G349" s="103"/>
      <c r="H349" s="104">
        <v>0</v>
      </c>
      <c r="I349" s="104"/>
      <c r="J349" s="104"/>
      <c r="K349" s="104">
        <v>0</v>
      </c>
      <c r="L349" s="104"/>
      <c r="M349" s="104"/>
      <c r="N349" s="104">
        <v>0</v>
      </c>
      <c r="O349" s="104"/>
      <c r="P349" s="104"/>
      <c r="Q349" s="104">
        <v>0</v>
      </c>
      <c r="R349" s="104"/>
      <c r="S349" s="104"/>
      <c r="T349" s="104">
        <v>0</v>
      </c>
      <c r="U349" s="104"/>
      <c r="V349" s="104"/>
      <c r="W349" s="104">
        <v>0</v>
      </c>
      <c r="X349" s="104"/>
      <c r="Y349" s="104"/>
      <c r="Z349" s="104">
        <v>0</v>
      </c>
      <c r="AA349" s="104"/>
      <c r="AB349" s="104"/>
      <c r="AC349" s="104">
        <v>0</v>
      </c>
      <c r="AD349" s="104"/>
      <c r="AE349" s="104"/>
      <c r="AF349" s="104">
        <v>0</v>
      </c>
      <c r="AG349" s="104"/>
      <c r="AH349" s="104"/>
      <c r="AI349" s="104">
        <v>0</v>
      </c>
      <c r="AJ349" s="105"/>
      <c r="AK349" s="105"/>
      <c r="AL349" s="106">
        <v>0</v>
      </c>
    </row>
    <row r="350" spans="1:38" x14ac:dyDescent="0.25">
      <c r="A350" s="73" t="s">
        <v>67</v>
      </c>
      <c r="B350" s="6" t="s">
        <v>69</v>
      </c>
      <c r="C350" s="7" t="s">
        <v>46</v>
      </c>
      <c r="D350" s="34" t="s">
        <v>45</v>
      </c>
      <c r="E350" s="107">
        <v>0</v>
      </c>
      <c r="F350" s="108"/>
      <c r="G350" s="108"/>
      <c r="H350" s="109">
        <v>0</v>
      </c>
      <c r="I350" s="109"/>
      <c r="J350" s="109"/>
      <c r="K350" s="109">
        <v>0</v>
      </c>
      <c r="L350" s="109"/>
      <c r="M350" s="109"/>
      <c r="N350" s="109">
        <v>0</v>
      </c>
      <c r="O350" s="109"/>
      <c r="P350" s="109"/>
      <c r="Q350" s="109">
        <v>0</v>
      </c>
      <c r="R350" s="109"/>
      <c r="S350" s="109"/>
      <c r="T350" s="109">
        <v>0</v>
      </c>
      <c r="U350" s="109"/>
      <c r="V350" s="109"/>
      <c r="W350" s="109">
        <v>0</v>
      </c>
      <c r="X350" s="109"/>
      <c r="Y350" s="109"/>
      <c r="Z350" s="109">
        <v>0</v>
      </c>
      <c r="AA350" s="109"/>
      <c r="AB350" s="109"/>
      <c r="AC350" s="109">
        <v>0</v>
      </c>
      <c r="AD350" s="109"/>
      <c r="AE350" s="109"/>
      <c r="AF350" s="109">
        <v>0</v>
      </c>
      <c r="AG350" s="109"/>
      <c r="AH350" s="109"/>
      <c r="AI350" s="109">
        <v>0</v>
      </c>
      <c r="AJ350" s="110"/>
      <c r="AK350" s="110"/>
      <c r="AL350" s="111">
        <v>0</v>
      </c>
    </row>
    <row r="351" spans="1:38" x14ac:dyDescent="0.25">
      <c r="A351" s="73" t="s">
        <v>67</v>
      </c>
      <c r="B351" s="6" t="s">
        <v>69</v>
      </c>
      <c r="C351" s="7" t="s">
        <v>47</v>
      </c>
      <c r="D351" s="8" t="s">
        <v>23</v>
      </c>
      <c r="E351" s="49">
        <f>IFERROR(+E345/E348,0)</f>
        <v>0</v>
      </c>
      <c r="F351" s="50"/>
      <c r="G351" s="50"/>
      <c r="H351" s="51">
        <f>IFERROR(+H345/H348,0)</f>
        <v>0</v>
      </c>
      <c r="I351" s="52"/>
      <c r="J351" s="52"/>
      <c r="K351" s="51">
        <f>IFERROR(+K345/K348,0)</f>
        <v>0</v>
      </c>
      <c r="L351" s="52"/>
      <c r="M351" s="52"/>
      <c r="N351" s="51">
        <f>IFERROR(+N345/N348,0)</f>
        <v>0</v>
      </c>
      <c r="O351" s="52"/>
      <c r="P351" s="52"/>
      <c r="Q351" s="51">
        <f>IFERROR(+Q345/Q348,0)</f>
        <v>0</v>
      </c>
      <c r="R351" s="52"/>
      <c r="S351" s="52"/>
      <c r="T351" s="51">
        <f>IFERROR(+T345/T348,0)</f>
        <v>0</v>
      </c>
      <c r="U351" s="52"/>
      <c r="V351" s="52"/>
      <c r="W351" s="51">
        <f>IFERROR(+W345/W348,0)</f>
        <v>0</v>
      </c>
      <c r="X351" s="52"/>
      <c r="Y351" s="52"/>
      <c r="Z351" s="51">
        <f>IFERROR(+Z345/Z348,0)</f>
        <v>0</v>
      </c>
      <c r="AA351" s="52"/>
      <c r="AB351" s="52"/>
      <c r="AC351" s="51">
        <f>IFERROR(+AC345/AC348,0)</f>
        <v>0</v>
      </c>
      <c r="AD351" s="52"/>
      <c r="AE351" s="52"/>
      <c r="AF351" s="51">
        <f>IFERROR(+AF345/AF348,0)</f>
        <v>0</v>
      </c>
      <c r="AG351" s="52"/>
      <c r="AH351" s="52"/>
      <c r="AI351" s="51">
        <f>IFERROR(+AI345/AI348,0)</f>
        <v>0</v>
      </c>
      <c r="AJ351" s="53"/>
      <c r="AK351" s="53"/>
      <c r="AL351" s="112">
        <f>IFERROR(+AL345/AL348,0)</f>
        <v>0</v>
      </c>
    </row>
    <row r="352" spans="1:38" x14ac:dyDescent="0.25">
      <c r="A352" s="73" t="s">
        <v>67</v>
      </c>
      <c r="B352" s="6" t="s">
        <v>69</v>
      </c>
      <c r="C352" s="7" t="s">
        <v>48</v>
      </c>
      <c r="D352" s="34" t="s">
        <v>23</v>
      </c>
      <c r="E352" s="49">
        <f>IFERROR(+E346/E349,0)</f>
        <v>0</v>
      </c>
      <c r="F352" s="50"/>
      <c r="G352" s="50"/>
      <c r="H352" s="51">
        <f>IFERROR(+H346/H349,0)</f>
        <v>0</v>
      </c>
      <c r="I352" s="52"/>
      <c r="J352" s="52"/>
      <c r="K352" s="51">
        <f>IFERROR(+K346/K349,0)</f>
        <v>0</v>
      </c>
      <c r="L352" s="52"/>
      <c r="M352" s="52"/>
      <c r="N352" s="51">
        <f>IFERROR(+N346/N349,0)</f>
        <v>0</v>
      </c>
      <c r="O352" s="52"/>
      <c r="P352" s="52"/>
      <c r="Q352" s="51">
        <f>IFERROR(+Q346/Q349,0)</f>
        <v>0</v>
      </c>
      <c r="R352" s="52"/>
      <c r="S352" s="52"/>
      <c r="T352" s="51">
        <f>IFERROR(+T346/T349,0)</f>
        <v>0</v>
      </c>
      <c r="U352" s="52"/>
      <c r="V352" s="52"/>
      <c r="W352" s="51">
        <f>IFERROR(+W346/W349,0)</f>
        <v>0</v>
      </c>
      <c r="X352" s="52"/>
      <c r="Y352" s="52"/>
      <c r="Z352" s="51">
        <f>IFERROR(+Z346/Z349,0)</f>
        <v>0</v>
      </c>
      <c r="AA352" s="52"/>
      <c r="AB352" s="52"/>
      <c r="AC352" s="51">
        <f>IFERROR(+AC346/AC349,0)</f>
        <v>0</v>
      </c>
      <c r="AD352" s="52"/>
      <c r="AE352" s="52"/>
      <c r="AF352" s="51">
        <f>IFERROR(+AF346/AF349,0)</f>
        <v>0</v>
      </c>
      <c r="AG352" s="52"/>
      <c r="AH352" s="52"/>
      <c r="AI352" s="51">
        <f>IFERROR(+AI346/AI349,0)</f>
        <v>0</v>
      </c>
      <c r="AJ352" s="53"/>
      <c r="AK352" s="53"/>
      <c r="AL352" s="112">
        <f>IFERROR(+AL346/AL349,0)</f>
        <v>0</v>
      </c>
    </row>
    <row r="353" spans="1:38" x14ac:dyDescent="0.25">
      <c r="A353" s="73" t="s">
        <v>67</v>
      </c>
      <c r="B353" s="6" t="s">
        <v>69</v>
      </c>
      <c r="C353" s="7" t="s">
        <v>49</v>
      </c>
      <c r="D353" s="34" t="s">
        <v>23</v>
      </c>
      <c r="E353" s="54">
        <f>IFERROR(+E347/E350,0)</f>
        <v>0</v>
      </c>
      <c r="F353" s="55"/>
      <c r="G353" s="55"/>
      <c r="H353" s="56">
        <f>IFERROR(+H347/H350,0)</f>
        <v>0</v>
      </c>
      <c r="I353" s="57"/>
      <c r="J353" s="57"/>
      <c r="K353" s="56">
        <f>IFERROR(+K347/K350,0)</f>
        <v>0</v>
      </c>
      <c r="L353" s="57"/>
      <c r="M353" s="57"/>
      <c r="N353" s="56">
        <f>IFERROR(+N347/N350,0)</f>
        <v>0</v>
      </c>
      <c r="O353" s="57"/>
      <c r="P353" s="57"/>
      <c r="Q353" s="56">
        <f>IFERROR(+Q347/Q350,0)</f>
        <v>0</v>
      </c>
      <c r="R353" s="57"/>
      <c r="S353" s="57"/>
      <c r="T353" s="56">
        <f>IFERROR(+T347/T350,0)</f>
        <v>0</v>
      </c>
      <c r="U353" s="57"/>
      <c r="V353" s="57"/>
      <c r="W353" s="56">
        <f>IFERROR(+W347/W350,0)</f>
        <v>0</v>
      </c>
      <c r="X353" s="57"/>
      <c r="Y353" s="57"/>
      <c r="Z353" s="56">
        <f>IFERROR(+Z347/Z350,0)</f>
        <v>0</v>
      </c>
      <c r="AA353" s="57"/>
      <c r="AB353" s="57"/>
      <c r="AC353" s="56">
        <f>IFERROR(+AC347/AC350,0)</f>
        <v>0</v>
      </c>
      <c r="AD353" s="57"/>
      <c r="AE353" s="57"/>
      <c r="AF353" s="56">
        <f>IFERROR(+AF347/AF350,0)</f>
        <v>0</v>
      </c>
      <c r="AG353" s="57"/>
      <c r="AH353" s="57"/>
      <c r="AI353" s="56">
        <f>IFERROR(+AI347/AI350,0)</f>
        <v>0</v>
      </c>
      <c r="AJ353" s="58"/>
      <c r="AK353" s="58"/>
      <c r="AL353" s="113">
        <f>IFERROR(+AL347/AL350,0)</f>
        <v>0</v>
      </c>
    </row>
    <row r="354" spans="1:38" x14ac:dyDescent="0.25">
      <c r="A354" s="73" t="s">
        <v>67</v>
      </c>
      <c r="B354" s="6" t="s">
        <v>69</v>
      </c>
      <c r="C354" s="7" t="s">
        <v>50</v>
      </c>
      <c r="D354" s="8" t="s">
        <v>23</v>
      </c>
      <c r="E354" s="59">
        <f>+[1]I.MODERN!C370</f>
        <v>113053.84</v>
      </c>
      <c r="F354" s="60"/>
      <c r="G354" s="60"/>
      <c r="H354" s="61">
        <f>+[1]I.MODERN!F370</f>
        <v>121059.48</v>
      </c>
      <c r="I354" s="61"/>
      <c r="J354" s="61"/>
      <c r="K354" s="61">
        <f>+[1]I.MODERN!I370</f>
        <v>117690.78</v>
      </c>
      <c r="L354" s="61"/>
      <c r="M354" s="61"/>
      <c r="N354" s="61">
        <f>+[1]I.MODERN!L370</f>
        <v>144225.41</v>
      </c>
      <c r="O354" s="61"/>
      <c r="P354" s="61"/>
      <c r="Q354" s="61">
        <f>+[1]I.MODERN!O370</f>
        <v>134536.16</v>
      </c>
      <c r="R354" s="61"/>
      <c r="S354" s="61"/>
      <c r="T354" s="61">
        <f>+[1]I.MODERN!R370</f>
        <v>113643.24</v>
      </c>
      <c r="U354" s="61"/>
      <c r="V354" s="61"/>
      <c r="W354" s="61">
        <f>+[1]I.MODERN!U370</f>
        <v>138111</v>
      </c>
      <c r="X354" s="61"/>
      <c r="Y354" s="61"/>
      <c r="Z354" s="61">
        <f>+[1]I.MODERN!X370</f>
        <v>0</v>
      </c>
      <c r="AA354" s="61"/>
      <c r="AB354" s="61"/>
      <c r="AC354" s="61">
        <f>+[1]I.MODERN!AA370</f>
        <v>0</v>
      </c>
      <c r="AD354" s="61"/>
      <c r="AE354" s="61"/>
      <c r="AF354" s="61">
        <f>+[1]I.MODERN!AD370</f>
        <v>0</v>
      </c>
      <c r="AG354" s="61"/>
      <c r="AH354" s="61"/>
      <c r="AI354" s="61">
        <f>+[1]I.MODERN!AG370</f>
        <v>0</v>
      </c>
      <c r="AJ354" s="62"/>
      <c r="AK354" s="62"/>
      <c r="AL354" s="114">
        <f>+[1]I.MODERN!AJ370</f>
        <v>0</v>
      </c>
    </row>
    <row r="355" spans="1:38" x14ac:dyDescent="0.25">
      <c r="A355" s="73" t="s">
        <v>67</v>
      </c>
      <c r="B355" s="6" t="s">
        <v>69</v>
      </c>
      <c r="C355" s="7" t="s">
        <v>51</v>
      </c>
      <c r="D355" s="8" t="s">
        <v>20</v>
      </c>
      <c r="E355" s="9"/>
      <c r="F355" s="10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2"/>
      <c r="AK355" s="12"/>
      <c r="AL355" s="74"/>
    </row>
    <row r="356" spans="1:38" x14ac:dyDescent="0.25">
      <c r="A356" s="85" t="s">
        <v>67</v>
      </c>
      <c r="B356" s="32" t="s">
        <v>69</v>
      </c>
      <c r="C356" s="33" t="s">
        <v>52</v>
      </c>
      <c r="D356" s="34" t="s">
        <v>23</v>
      </c>
      <c r="E356" s="24">
        <f>+[1]I.MODERN!C378</f>
        <v>143095.17191055382</v>
      </c>
      <c r="F356" s="25"/>
      <c r="G356" s="25"/>
      <c r="H356" s="26">
        <f>+[1]I.MODERN!F378</f>
        <v>163635.0512878639</v>
      </c>
      <c r="I356" s="26"/>
      <c r="J356" s="26"/>
      <c r="K356" s="26">
        <f>+[1]I.MODERN!I378</f>
        <v>170292.12874923329</v>
      </c>
      <c r="L356" s="26"/>
      <c r="M356" s="26"/>
      <c r="N356" s="26">
        <f>+[1]I.MODERN!L378</f>
        <v>144403.17503969124</v>
      </c>
      <c r="O356" s="26"/>
      <c r="P356" s="26"/>
      <c r="Q356" s="26">
        <f>+[1]I.MODERN!O378</f>
        <v>95059.176429380692</v>
      </c>
      <c r="R356" s="26"/>
      <c r="S356" s="26"/>
      <c r="T356" s="26">
        <f>+[1]I.MODERN!R378</f>
        <v>59453.283804842213</v>
      </c>
      <c r="U356" s="26"/>
      <c r="V356" s="26"/>
      <c r="W356" s="26">
        <f>+[1]I.MODERN!U378</f>
        <v>133089.69329418815</v>
      </c>
      <c r="X356" s="26"/>
      <c r="Y356" s="26"/>
      <c r="Z356" s="26">
        <f>+[1]I.MODERN!X378</f>
        <v>0</v>
      </c>
      <c r="AA356" s="26"/>
      <c r="AB356" s="26"/>
      <c r="AC356" s="26">
        <f>+[1]I.MODERN!AA378</f>
        <v>0</v>
      </c>
      <c r="AD356" s="26"/>
      <c r="AE356" s="26"/>
      <c r="AF356" s="26">
        <f>+[1]I.MODERN!AD378</f>
        <v>0</v>
      </c>
      <c r="AG356" s="26"/>
      <c r="AH356" s="26"/>
      <c r="AI356" s="26">
        <f>+[1]I.MODERN!AG378</f>
        <v>0</v>
      </c>
      <c r="AJ356" s="27"/>
      <c r="AK356" s="27"/>
      <c r="AL356" s="78">
        <f>+[1]I.MODERN!AJ378</f>
        <v>0</v>
      </c>
    </row>
    <row r="357" spans="1:38" x14ac:dyDescent="0.25">
      <c r="A357" s="85" t="s">
        <v>67</v>
      </c>
      <c r="B357" s="32" t="s">
        <v>69</v>
      </c>
      <c r="C357" s="33" t="s">
        <v>53</v>
      </c>
      <c r="D357" s="34" t="s">
        <v>23</v>
      </c>
      <c r="E357" s="28">
        <f>+[1]I.MODERN!C387-[1]I.MODERN!C320-[1]I.MODERN!C325-[1]I.MODERN!C342-[1]I.MODERN!C370-[1]I.MODERN!C378</f>
        <v>44718.019999999931</v>
      </c>
      <c r="F357" s="29"/>
      <c r="G357" s="29"/>
      <c r="H357" s="30">
        <f>+[1]I.MODERN!F387-[1]I.MODERN!F320-[1]I.MODERN!F325-[1]I.MODERN!F342-[1]I.MODERN!F370-[1]I.MODERN!F378</f>
        <v>51948.249999999913</v>
      </c>
      <c r="I357" s="30"/>
      <c r="J357" s="30"/>
      <c r="K357" s="30">
        <f>+[1]I.MODERN!I387-[1]I.MODERN!I320-[1]I.MODERN!I325-[1]I.MODERN!I342-[1]I.MODERN!I370-[1]I.MODERN!I378</f>
        <v>54959.839999999967</v>
      </c>
      <c r="L357" s="30"/>
      <c r="M357" s="30"/>
      <c r="N357" s="30">
        <f>+[1]I.MODERN!L387-[1]I.MODERN!L320-[1]I.MODERN!L325-[1]I.MODERN!L342-[1]I.MODERN!L370-[1]I.MODERN!L378</f>
        <v>52390.580000000016</v>
      </c>
      <c r="O357" s="30"/>
      <c r="P357" s="30"/>
      <c r="Q357" s="30">
        <f>+[1]I.MODERN!O387-[1]I.MODERN!O320-[1]I.MODERN!O325-[1]I.MODERN!O342-[1]I.MODERN!O370-[1]I.MODERN!O378</f>
        <v>29055.880000000005</v>
      </c>
      <c r="R357" s="30"/>
      <c r="S357" s="30"/>
      <c r="T357" s="30">
        <f>+[1]I.MODERN!R387-[1]I.MODERN!R320-[1]I.MODERN!R325-[1]I.MODERN!R342-[1]I.MODERN!R370-[1]I.MODERN!R378</f>
        <v>53165.360000000059</v>
      </c>
      <c r="U357" s="30"/>
      <c r="V357" s="30"/>
      <c r="W357" s="30">
        <f>+[1]I.MODERN!U387-[1]I.MODERN!U320-[1]I.MODERN!U325-[1]I.MODERN!U342-[1]I.MODERN!U370-[1]I.MODERN!U378</f>
        <v>58106.460000000108</v>
      </c>
      <c r="X357" s="30"/>
      <c r="Y357" s="30"/>
      <c r="Z357" s="30">
        <f>+[1]I.MODERN!X387-[1]I.MODERN!X320-[1]I.MODERN!X325-[1]I.MODERN!X342-[1]I.MODERN!X370-[1]I.MODERN!X378</f>
        <v>0</v>
      </c>
      <c r="AA357" s="30"/>
      <c r="AB357" s="30"/>
      <c r="AC357" s="30">
        <f>+[1]I.MODERN!AA387-[1]I.MODERN!AA320-[1]I.MODERN!AA325-[1]I.MODERN!AA342-[1]I.MODERN!AA370-[1]I.MODERN!AA378</f>
        <v>0</v>
      </c>
      <c r="AD357" s="30"/>
      <c r="AE357" s="30"/>
      <c r="AF357" s="30">
        <f>+[1]I.MODERN!AD387-[1]I.MODERN!AD320-[1]I.MODERN!AD325-[1]I.MODERN!AD342-[1]I.MODERN!AD370-[1]I.MODERN!AD378</f>
        <v>0</v>
      </c>
      <c r="AG357" s="30"/>
      <c r="AH357" s="30"/>
      <c r="AI357" s="30">
        <f>+[1]I.MODERN!AG387-[1]I.MODERN!AG320-[1]I.MODERN!AG325-[1]I.MODERN!AG342-[1]I.MODERN!AG370-[1]I.MODERN!AG378</f>
        <v>0</v>
      </c>
      <c r="AJ357" s="31"/>
      <c r="AK357" s="31"/>
      <c r="AL357" s="79">
        <f>+[1]I.MODERN!AJ387-[1]I.MODERN!AJ320-[1]I.MODERN!AJ325-[1]I.MODERN!AJ342-[1]I.MODERN!AJ370-[1]I.MODERN!AJ378</f>
        <v>0</v>
      </c>
    </row>
    <row r="358" spans="1:38" x14ac:dyDescent="0.25">
      <c r="A358" s="85" t="s">
        <v>67</v>
      </c>
      <c r="B358" s="32" t="s">
        <v>69</v>
      </c>
      <c r="C358" s="33" t="s">
        <v>54</v>
      </c>
      <c r="D358" s="34" t="s">
        <v>23</v>
      </c>
      <c r="E358" s="59">
        <f>+E333+E334+E343+E345+E346+E347+E354+E356+E357</f>
        <v>569253.99191055377</v>
      </c>
      <c r="F358" s="60"/>
      <c r="G358" s="60"/>
      <c r="H358" s="61">
        <f>+H333+H334+H343+H345+H346+H347+H354+H356+H357</f>
        <v>539518.52128786384</v>
      </c>
      <c r="I358" s="61"/>
      <c r="J358" s="61"/>
      <c r="K358" s="61">
        <f>+K333+K334+K343+K345+K346+K347+K354+K356+K357</f>
        <v>538119.93551058846</v>
      </c>
      <c r="L358" s="61"/>
      <c r="M358" s="61"/>
      <c r="N358" s="61">
        <f>+N333+N334+N343+N345+N346+N347+N354+N356+N357</f>
        <v>687770.32921954663</v>
      </c>
      <c r="O358" s="61"/>
      <c r="P358" s="61"/>
      <c r="Q358" s="61">
        <f>+Q333+Q334+Q343+Q345+Q346+Q347+Q354+Q356+Q357</f>
        <v>499203.86364179093</v>
      </c>
      <c r="R358" s="61"/>
      <c r="S358" s="61"/>
      <c r="T358" s="61">
        <f>+T333+T334+T343+T345+T346+T347+T354+T356+T357</f>
        <v>489244.98213846673</v>
      </c>
      <c r="U358" s="61"/>
      <c r="V358" s="61"/>
      <c r="W358" s="61">
        <f>+W333+W334+W343+W345+W346+W347+W354+W356+W357</f>
        <v>635460.83498141367</v>
      </c>
      <c r="X358" s="61"/>
      <c r="Y358" s="61"/>
      <c r="Z358" s="61">
        <f>+Z333+Z334+Z343+Z345+Z346+Z347+Z354+Z356+Z357</f>
        <v>0</v>
      </c>
      <c r="AA358" s="61"/>
      <c r="AB358" s="61"/>
      <c r="AC358" s="61">
        <f>+AC333+AC334+AC343+AC345+AC346+AC347+AC354+AC356+AC357</f>
        <v>0</v>
      </c>
      <c r="AD358" s="61"/>
      <c r="AE358" s="61"/>
      <c r="AF358" s="61">
        <f>+AF333+AF334+AF343+AF345+AF346+AF347+AF354+AF356+AF357</f>
        <v>0</v>
      </c>
      <c r="AG358" s="61"/>
      <c r="AH358" s="61"/>
      <c r="AI358" s="61">
        <f>+AI333+AI334+AI343+AI345+AI346+AI347+AI354+AI356+AI357</f>
        <v>0</v>
      </c>
      <c r="AJ358" s="62"/>
      <c r="AK358" s="62"/>
      <c r="AL358" s="114">
        <f>+AL333+AL334+AL343+AL345+AL346+AL347+AL354+AL356+AL357</f>
        <v>0</v>
      </c>
    </row>
    <row r="359" spans="1:38" ht="15.75" thickBot="1" x14ac:dyDescent="0.3">
      <c r="A359" s="115" t="s">
        <v>67</v>
      </c>
      <c r="B359" s="116" t="s">
        <v>69</v>
      </c>
      <c r="C359" s="117" t="s">
        <v>55</v>
      </c>
      <c r="D359" s="118" t="s">
        <v>23</v>
      </c>
      <c r="E359" s="119">
        <f>+E358-[1]I.MODERN!C387</f>
        <v>0</v>
      </c>
      <c r="F359" s="120"/>
      <c r="G359" s="120"/>
      <c r="H359" s="121">
        <f>+H358-[1]I.MODERN!F387</f>
        <v>0</v>
      </c>
      <c r="I359" s="121"/>
      <c r="J359" s="121"/>
      <c r="K359" s="121">
        <f>+K358-[1]I.MODERN!I387</f>
        <v>0</v>
      </c>
      <c r="L359" s="121"/>
      <c r="M359" s="121"/>
      <c r="N359" s="121">
        <f>+N358-[1]I.MODERN!L387</f>
        <v>0</v>
      </c>
      <c r="O359" s="121"/>
      <c r="P359" s="121"/>
      <c r="Q359" s="121">
        <f>+Q358-[1]I.MODERN!O387</f>
        <v>0</v>
      </c>
      <c r="R359" s="121"/>
      <c r="S359" s="121"/>
      <c r="T359" s="121">
        <f>+T358-[1]I.MODERN!R387</f>
        <v>0</v>
      </c>
      <c r="U359" s="121"/>
      <c r="V359" s="121"/>
      <c r="W359" s="121">
        <f>+W358-[1]I.MODERN!U387</f>
        <v>0</v>
      </c>
      <c r="X359" s="121"/>
      <c r="Y359" s="121"/>
      <c r="Z359" s="121">
        <f>+Z358-[1]I.MODERN!X387</f>
        <v>0</v>
      </c>
      <c r="AA359" s="121"/>
      <c r="AB359" s="121"/>
      <c r="AC359" s="121">
        <f>+AC358-[1]I.MODERN!AA387</f>
        <v>0</v>
      </c>
      <c r="AD359" s="121"/>
      <c r="AE359" s="121"/>
      <c r="AF359" s="121">
        <f>+AF358-[1]I.MODERN!AD387</f>
        <v>0</v>
      </c>
      <c r="AG359" s="121"/>
      <c r="AH359" s="121"/>
      <c r="AI359" s="121">
        <f>+AI358-[1]I.MODERN!AG387</f>
        <v>0</v>
      </c>
      <c r="AJ359" s="122"/>
      <c r="AK359" s="122"/>
      <c r="AL359" s="123">
        <f>+AL358-[1]I.MODERN!AJ387</f>
        <v>0</v>
      </c>
    </row>
    <row r="360" spans="1:38" x14ac:dyDescent="0.25">
      <c r="A360" s="64" t="s">
        <v>67</v>
      </c>
      <c r="B360" s="65" t="s">
        <v>70</v>
      </c>
      <c r="C360" s="66" t="s">
        <v>19</v>
      </c>
      <c r="D360" s="67" t="s">
        <v>20</v>
      </c>
      <c r="E360" s="68">
        <f>+[1]I.MODERN!C400</f>
        <v>110</v>
      </c>
      <c r="F360" s="69"/>
      <c r="G360" s="69"/>
      <c r="H360" s="70">
        <f>+[1]I.MODERN!F400</f>
        <v>548</v>
      </c>
      <c r="I360" s="70"/>
      <c r="J360" s="70"/>
      <c r="K360" s="70">
        <f>+[1]I.MODERN!I400</f>
        <v>202</v>
      </c>
      <c r="L360" s="70"/>
      <c r="M360" s="70"/>
      <c r="N360" s="70">
        <f>+[1]I.MODERN!L400</f>
        <v>385</v>
      </c>
      <c r="O360" s="70"/>
      <c r="P360" s="70"/>
      <c r="Q360" s="70">
        <f>+[1]I.MODERN!O400</f>
        <v>463</v>
      </c>
      <c r="R360" s="70"/>
      <c r="S360" s="70"/>
      <c r="T360" s="70">
        <f>+[1]I.MODERN!R400</f>
        <v>908</v>
      </c>
      <c r="U360" s="70"/>
      <c r="V360" s="70"/>
      <c r="W360" s="70">
        <f>+[1]I.MODERN!U400</f>
        <v>0</v>
      </c>
      <c r="X360" s="70"/>
      <c r="Y360" s="70"/>
      <c r="Z360" s="70">
        <f>+[1]I.MODERN!X400</f>
        <v>0</v>
      </c>
      <c r="AA360" s="70"/>
      <c r="AB360" s="70"/>
      <c r="AC360" s="70">
        <f>+[1]I.MODERN!AA400</f>
        <v>0</v>
      </c>
      <c r="AD360" s="70"/>
      <c r="AE360" s="70"/>
      <c r="AF360" s="70">
        <f>+[1]I.MODERN!AD400</f>
        <v>0</v>
      </c>
      <c r="AG360" s="70"/>
      <c r="AH360" s="70"/>
      <c r="AI360" s="70">
        <f>+[1]I.MODERN!AG400</f>
        <v>0</v>
      </c>
      <c r="AJ360" s="71"/>
      <c r="AK360" s="71"/>
      <c r="AL360" s="72">
        <f>+[1]I.MODERN!AJ400</f>
        <v>0</v>
      </c>
    </row>
    <row r="361" spans="1:38" x14ac:dyDescent="0.25">
      <c r="A361" s="73" t="s">
        <v>67</v>
      </c>
      <c r="B361" s="6" t="s">
        <v>70</v>
      </c>
      <c r="C361" s="7" t="s">
        <v>21</v>
      </c>
      <c r="D361" s="8" t="s">
        <v>20</v>
      </c>
      <c r="E361" s="9"/>
      <c r="F361" s="10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2"/>
      <c r="AK361" s="12"/>
      <c r="AL361" s="74"/>
    </row>
    <row r="362" spans="1:38" x14ac:dyDescent="0.25">
      <c r="A362" s="73" t="s">
        <v>67</v>
      </c>
      <c r="B362" s="6" t="s">
        <v>70</v>
      </c>
      <c r="C362" s="7" t="s">
        <v>22</v>
      </c>
      <c r="D362" s="8" t="s">
        <v>23</v>
      </c>
      <c r="E362" s="13">
        <f>+[1]I.MODERN!C395</f>
        <v>675311.06</v>
      </c>
      <c r="F362" s="14"/>
      <c r="G362" s="14"/>
      <c r="H362" s="15">
        <f>+[1]I.MODERN!F395</f>
        <v>2301309.8600000003</v>
      </c>
      <c r="I362" s="14"/>
      <c r="J362" s="14"/>
      <c r="K362" s="13">
        <f>+[1]I.MODERN!I395</f>
        <v>978124.95999999985</v>
      </c>
      <c r="L362" s="14"/>
      <c r="M362" s="14"/>
      <c r="N362" s="15">
        <f>+[1]I.MODERN!L395</f>
        <v>2535040.36</v>
      </c>
      <c r="O362" s="15"/>
      <c r="P362" s="15"/>
      <c r="Q362" s="15">
        <f>+[1]I.MODERN!O395</f>
        <v>3090497.7299999995</v>
      </c>
      <c r="R362" s="15"/>
      <c r="S362" s="15"/>
      <c r="T362" s="15">
        <f>+[1]I.MODERN!R395</f>
        <v>4640340.75</v>
      </c>
      <c r="U362" s="15"/>
      <c r="V362" s="15"/>
      <c r="W362" s="15">
        <f>+[1]I.MODERN!U395</f>
        <v>142033.56</v>
      </c>
      <c r="X362" s="15"/>
      <c r="Y362" s="15"/>
      <c r="Z362" s="15">
        <f>+[1]I.MODERN!X395</f>
        <v>0</v>
      </c>
      <c r="AA362" s="15"/>
      <c r="AB362" s="15"/>
      <c r="AC362" s="15">
        <f>+[1]I.MODERN!AA395</f>
        <v>0</v>
      </c>
      <c r="AD362" s="15"/>
      <c r="AE362" s="15"/>
      <c r="AF362" s="15">
        <f>+[1]I.MODERN!AD395</f>
        <v>0</v>
      </c>
      <c r="AG362" s="15"/>
      <c r="AH362" s="15"/>
      <c r="AI362" s="15">
        <f>+[1]I.MODERN!AG395</f>
        <v>0</v>
      </c>
      <c r="AJ362" s="16"/>
      <c r="AK362" s="16"/>
      <c r="AL362" s="75">
        <f>+[1]I.MODERN!AJ395</f>
        <v>0</v>
      </c>
    </row>
    <row r="363" spans="1:38" x14ac:dyDescent="0.25">
      <c r="A363" s="73" t="s">
        <v>67</v>
      </c>
      <c r="B363" s="6" t="s">
        <v>70</v>
      </c>
      <c r="C363" s="7" t="s">
        <v>24</v>
      </c>
      <c r="D363" s="8" t="s">
        <v>23</v>
      </c>
      <c r="E363" s="13">
        <f>+[1]I.MODERN!C396</f>
        <v>402750.18000000005</v>
      </c>
      <c r="F363" s="17"/>
      <c r="G363" s="17"/>
      <c r="H363" s="18">
        <f>+[1]I.MODERN!F396</f>
        <v>548066.13</v>
      </c>
      <c r="I363" s="18"/>
      <c r="J363" s="18"/>
      <c r="K363" s="18">
        <f>+[1]I.MODERN!I396</f>
        <v>17911.809999999998</v>
      </c>
      <c r="L363" s="18"/>
      <c r="M363" s="18"/>
      <c r="N363" s="18">
        <f>+[1]I.MODERN!L396</f>
        <v>1668958.0699999998</v>
      </c>
      <c r="O363" s="18"/>
      <c r="P363" s="18"/>
      <c r="Q363" s="18">
        <f>+[1]I.MODERN!O396</f>
        <v>1124444.49</v>
      </c>
      <c r="R363" s="18"/>
      <c r="S363" s="18"/>
      <c r="T363" s="18">
        <f>+[1]I.MODERN!R396</f>
        <v>1600702.21</v>
      </c>
      <c r="U363" s="18"/>
      <c r="V363" s="18"/>
      <c r="W363" s="18">
        <f>+[1]I.MODERN!U396</f>
        <v>19326.389999999974</v>
      </c>
      <c r="X363" s="18"/>
      <c r="Y363" s="18"/>
      <c r="Z363" s="18">
        <f>+[1]I.MODERN!X396</f>
        <v>0</v>
      </c>
      <c r="AA363" s="18"/>
      <c r="AB363" s="18"/>
      <c r="AC363" s="18">
        <f>+[1]I.MODERN!AA396</f>
        <v>0</v>
      </c>
      <c r="AD363" s="18"/>
      <c r="AE363" s="18"/>
      <c r="AF363" s="18">
        <f>+[1]I.MODERN!AD396</f>
        <v>0</v>
      </c>
      <c r="AG363" s="18"/>
      <c r="AH363" s="18"/>
      <c r="AI363" s="18">
        <f>+[1]I.MODERN!AG396</f>
        <v>0</v>
      </c>
      <c r="AJ363" s="19"/>
      <c r="AK363" s="19"/>
      <c r="AL363" s="76">
        <f>+[1]I.MODERN!AJ396</f>
        <v>0</v>
      </c>
    </row>
    <row r="364" spans="1:38" x14ac:dyDescent="0.25">
      <c r="A364" s="73" t="s">
        <v>67</v>
      </c>
      <c r="B364" s="6" t="s">
        <v>70</v>
      </c>
      <c r="C364" s="7" t="s">
        <v>25</v>
      </c>
      <c r="D364" s="8" t="s">
        <v>23</v>
      </c>
      <c r="E364" s="20">
        <f>+[1]I.MODERN!C399-[1]I.MODERN!C395-[1]I.MODERN!C396</f>
        <v>0</v>
      </c>
      <c r="F364" s="21"/>
      <c r="G364" s="21"/>
      <c r="H364" s="22">
        <f>+[1]I.MODERN!F399-[1]I.MODERN!F395-[1]I.MODERN!F396</f>
        <v>36196.439999999828</v>
      </c>
      <c r="I364" s="22"/>
      <c r="J364" s="22"/>
      <c r="K364" s="22">
        <f>+[1]I.MODERN!I399-[1]I.MODERN!I395-[1]I.MODERN!I396</f>
        <v>93061.440000000119</v>
      </c>
      <c r="L364" s="22"/>
      <c r="M364" s="22"/>
      <c r="N364" s="22">
        <f>+[1]I.MODERN!L399-[1]I.MODERN!L395-[1]I.MODERN!L396</f>
        <v>28315.700000000186</v>
      </c>
      <c r="O364" s="22"/>
      <c r="P364" s="22"/>
      <c r="Q364" s="22">
        <f>+[1]I.MODERN!O399-[1]I.MODERN!O395-[1]I.MODERN!O396</f>
        <v>20981.710000000196</v>
      </c>
      <c r="R364" s="22"/>
      <c r="S364" s="22"/>
      <c r="T364" s="22">
        <f>+[1]I.MODERN!R399-[1]I.MODERN!R395-[1]I.MODERN!R396</f>
        <v>67777.41000000108</v>
      </c>
      <c r="U364" s="22"/>
      <c r="V364" s="22"/>
      <c r="W364" s="22">
        <f>+[1]I.MODERN!U399-[1]I.MODERN!U395-[1]I.MODERN!U396</f>
        <v>0</v>
      </c>
      <c r="X364" s="22"/>
      <c r="Y364" s="22"/>
      <c r="Z364" s="22">
        <f>+[1]I.MODERN!X399-[1]I.MODERN!X395-[1]I.MODERN!X396</f>
        <v>0</v>
      </c>
      <c r="AA364" s="22"/>
      <c r="AB364" s="22"/>
      <c r="AC364" s="22">
        <f>+[1]I.MODERN!AA399-[1]I.MODERN!AA395-[1]I.MODERN!AA396</f>
        <v>0</v>
      </c>
      <c r="AD364" s="22"/>
      <c r="AE364" s="22"/>
      <c r="AF364" s="22">
        <f>+[1]I.MODERN!AD399-[1]I.MODERN!AD395-[1]I.MODERN!AD396</f>
        <v>0</v>
      </c>
      <c r="AG364" s="22"/>
      <c r="AH364" s="22"/>
      <c r="AI364" s="22">
        <f>+[1]I.MODERN!AG399-[1]I.MODERN!AG395-[1]I.MODERN!AG396</f>
        <v>0</v>
      </c>
      <c r="AJ364" s="23"/>
      <c r="AK364" s="23"/>
      <c r="AL364" s="77">
        <f>+[1]I.MODERN!AJ399-[1]I.MODERN!AJ395-[1]I.MODERN!AJ396</f>
        <v>0</v>
      </c>
    </row>
    <row r="365" spans="1:38" x14ac:dyDescent="0.25">
      <c r="A365" s="73" t="s">
        <v>67</v>
      </c>
      <c r="B365" s="6" t="s">
        <v>70</v>
      </c>
      <c r="C365" s="7" t="s">
        <v>26</v>
      </c>
      <c r="D365" s="8" t="s">
        <v>23</v>
      </c>
      <c r="E365" s="24">
        <f>+[1]I.MODERN!C420</f>
        <v>97593.87000000001</v>
      </c>
      <c r="F365" s="25"/>
      <c r="G365" s="25"/>
      <c r="H365" s="26">
        <f>+[1]I.MODERN!F420</f>
        <v>717407.62</v>
      </c>
      <c r="I365" s="26"/>
      <c r="J365" s="26"/>
      <c r="K365" s="26">
        <f>+[1]I.MODERN!I420</f>
        <v>314605.29000000004</v>
      </c>
      <c r="L365" s="26"/>
      <c r="M365" s="26"/>
      <c r="N365" s="26">
        <f>+[1]I.MODERN!L420</f>
        <v>413865.77</v>
      </c>
      <c r="O365" s="26"/>
      <c r="P365" s="26"/>
      <c r="Q365" s="26">
        <f>+[1]I.MODERN!O420</f>
        <v>533355.90999999992</v>
      </c>
      <c r="R365" s="26"/>
      <c r="S365" s="26"/>
      <c r="T365" s="26">
        <f>+[1]I.MODERN!R420</f>
        <v>946283.24</v>
      </c>
      <c r="U365" s="26"/>
      <c r="V365" s="26"/>
      <c r="W365" s="26">
        <f>+[1]I.MODERN!U420</f>
        <v>4566.6400000000003</v>
      </c>
      <c r="X365" s="26"/>
      <c r="Y365" s="26"/>
      <c r="Z365" s="26">
        <f>+[1]I.MODERN!X420</f>
        <v>0</v>
      </c>
      <c r="AA365" s="26"/>
      <c r="AB365" s="26"/>
      <c r="AC365" s="26">
        <f>+[1]I.MODERN!AA420</f>
        <v>0</v>
      </c>
      <c r="AD365" s="26"/>
      <c r="AE365" s="26"/>
      <c r="AF365" s="26">
        <f>+[1]I.MODERN!AD420</f>
        <v>0</v>
      </c>
      <c r="AG365" s="26"/>
      <c r="AH365" s="26"/>
      <c r="AI365" s="26">
        <f>+[1]I.MODERN!AG420</f>
        <v>0</v>
      </c>
      <c r="AJ365" s="27"/>
      <c r="AK365" s="27"/>
      <c r="AL365" s="78">
        <f>+[1]I.MODERN!AJ420</f>
        <v>0</v>
      </c>
    </row>
    <row r="366" spans="1:38" x14ac:dyDescent="0.25">
      <c r="A366" s="73" t="s">
        <v>67</v>
      </c>
      <c r="B366" s="6" t="s">
        <v>70</v>
      </c>
      <c r="C366" s="7" t="s">
        <v>27</v>
      </c>
      <c r="D366" s="8" t="s">
        <v>23</v>
      </c>
      <c r="E366" s="28">
        <f>+[1]I.MODERN!C421</f>
        <v>75480.819999999992</v>
      </c>
      <c r="F366" s="29"/>
      <c r="G366" s="29"/>
      <c r="H366" s="30">
        <f>+[1]I.MODERN!F421</f>
        <v>86089.180000000008</v>
      </c>
      <c r="I366" s="30"/>
      <c r="J366" s="30"/>
      <c r="K366" s="30">
        <f>+[1]I.MODERN!I421</f>
        <v>30830.33</v>
      </c>
      <c r="L366" s="30"/>
      <c r="M366" s="30"/>
      <c r="N366" s="30">
        <f>+[1]I.MODERN!L421</f>
        <v>191701.95</v>
      </c>
      <c r="O366" s="30"/>
      <c r="P366" s="30"/>
      <c r="Q366" s="30">
        <f>+[1]I.MODERN!O421</f>
        <v>143777.33000000002</v>
      </c>
      <c r="R366" s="30"/>
      <c r="S366" s="30"/>
      <c r="T366" s="30">
        <f>+[1]I.MODERN!R421</f>
        <v>359672.2</v>
      </c>
      <c r="U366" s="30"/>
      <c r="V366" s="30"/>
      <c r="W366" s="30">
        <f>+[1]I.MODERN!U421</f>
        <v>0</v>
      </c>
      <c r="X366" s="30"/>
      <c r="Y366" s="30"/>
      <c r="Z366" s="30">
        <f>+[1]I.MODERN!X421</f>
        <v>0</v>
      </c>
      <c r="AA366" s="30"/>
      <c r="AB366" s="30"/>
      <c r="AC366" s="30">
        <f>+[1]I.MODERN!AA421</f>
        <v>0</v>
      </c>
      <c r="AD366" s="30"/>
      <c r="AE366" s="30"/>
      <c r="AF366" s="30">
        <f>+[1]I.MODERN!AD421</f>
        <v>0</v>
      </c>
      <c r="AG366" s="30"/>
      <c r="AH366" s="30"/>
      <c r="AI366" s="30">
        <f>+[1]I.MODERN!AG421</f>
        <v>0</v>
      </c>
      <c r="AJ366" s="31"/>
      <c r="AK366" s="31"/>
      <c r="AL366" s="79">
        <f>+[1]I.MODERN!AJ421</f>
        <v>0</v>
      </c>
    </row>
    <row r="367" spans="1:38" x14ac:dyDescent="0.25">
      <c r="A367" s="73" t="s">
        <v>67</v>
      </c>
      <c r="B367" s="6" t="s">
        <v>70</v>
      </c>
      <c r="C367" s="7" t="s">
        <v>28</v>
      </c>
      <c r="D367" s="8" t="s">
        <v>29</v>
      </c>
      <c r="E367" s="124">
        <f>+[1]I.MODERN!C404</f>
        <v>2</v>
      </c>
      <c r="F367" s="125"/>
      <c r="G367" s="125"/>
      <c r="H367" s="126">
        <f>+[1]I.MODERN!F404</f>
        <v>2</v>
      </c>
      <c r="I367" s="126"/>
      <c r="J367" s="126"/>
      <c r="K367" s="126">
        <f>+[1]I.MODERN!I404</f>
        <v>2</v>
      </c>
      <c r="L367" s="126"/>
      <c r="M367" s="126"/>
      <c r="N367" s="126">
        <f>+[1]I.MODERN!L404</f>
        <v>2</v>
      </c>
      <c r="O367" s="126"/>
      <c r="P367" s="126"/>
      <c r="Q367" s="126">
        <f>+[1]I.MODERN!O404</f>
        <v>2</v>
      </c>
      <c r="R367" s="126"/>
      <c r="S367" s="126"/>
      <c r="T367" s="126">
        <f>+[1]I.MODERN!R404</f>
        <v>2</v>
      </c>
      <c r="U367" s="126"/>
      <c r="V367" s="126"/>
      <c r="W367" s="126">
        <f>+[1]I.MODERN!U404</f>
        <v>2</v>
      </c>
      <c r="X367" s="126"/>
      <c r="Y367" s="126"/>
      <c r="Z367" s="126">
        <f>+[1]I.MODERN!X404</f>
        <v>0</v>
      </c>
      <c r="AA367" s="126"/>
      <c r="AB367" s="126"/>
      <c r="AC367" s="126">
        <f>+[1]I.MODERN!AA404</f>
        <v>0</v>
      </c>
      <c r="AD367" s="126"/>
      <c r="AE367" s="126"/>
      <c r="AF367" s="126">
        <f>+[1]I.MODERN!AD404</f>
        <v>0</v>
      </c>
      <c r="AG367" s="126"/>
      <c r="AH367" s="126"/>
      <c r="AI367" s="126">
        <f>+[1]I.MODERN!AG404</f>
        <v>0</v>
      </c>
      <c r="AJ367" s="127"/>
      <c r="AK367" s="127"/>
      <c r="AL367" s="128">
        <f>+[1]I.MODERN!AJ404</f>
        <v>0</v>
      </c>
    </row>
    <row r="368" spans="1:38" x14ac:dyDescent="0.25">
      <c r="A368" s="85" t="s">
        <v>67</v>
      </c>
      <c r="B368" s="32" t="s">
        <v>70</v>
      </c>
      <c r="C368" s="33" t="s">
        <v>30</v>
      </c>
      <c r="D368" s="34" t="s">
        <v>29</v>
      </c>
      <c r="E368" s="129">
        <f>+[1]I.MODERN!C405</f>
        <v>0</v>
      </c>
      <c r="F368" s="130"/>
      <c r="G368" s="130"/>
      <c r="H368" s="131">
        <f>+[1]I.MODERN!F405</f>
        <v>0</v>
      </c>
      <c r="I368" s="131"/>
      <c r="J368" s="131"/>
      <c r="K368" s="131">
        <f>+[1]I.MODERN!I405</f>
        <v>0</v>
      </c>
      <c r="L368" s="131"/>
      <c r="M368" s="131"/>
      <c r="N368" s="131">
        <f>+[1]I.MODERN!L405</f>
        <v>0</v>
      </c>
      <c r="O368" s="131"/>
      <c r="P368" s="131"/>
      <c r="Q368" s="131">
        <f>+[1]I.MODERN!O405</f>
        <v>0</v>
      </c>
      <c r="R368" s="131"/>
      <c r="S368" s="131"/>
      <c r="T368" s="131">
        <f>+[1]I.MODERN!R405</f>
        <v>0</v>
      </c>
      <c r="U368" s="131"/>
      <c r="V368" s="131"/>
      <c r="W368" s="131">
        <f>+[1]I.MODERN!U405</f>
        <v>0</v>
      </c>
      <c r="X368" s="131"/>
      <c r="Y368" s="131"/>
      <c r="Z368" s="131">
        <f>+[1]I.MODERN!X405</f>
        <v>0</v>
      </c>
      <c r="AA368" s="131"/>
      <c r="AB368" s="131"/>
      <c r="AC368" s="131">
        <f>+[1]I.MODERN!AA405</f>
        <v>0</v>
      </c>
      <c r="AD368" s="131"/>
      <c r="AE368" s="131"/>
      <c r="AF368" s="131">
        <f>+[1]I.MODERN!AD405</f>
        <v>0</v>
      </c>
      <c r="AG368" s="131"/>
      <c r="AH368" s="131"/>
      <c r="AI368" s="131">
        <f>+[1]I.MODERN!AG405</f>
        <v>0</v>
      </c>
      <c r="AJ368" s="132"/>
      <c r="AK368" s="132"/>
      <c r="AL368" s="133">
        <f>+[1]I.MODERN!AJ405</f>
        <v>0</v>
      </c>
    </row>
    <row r="369" spans="1:38" x14ac:dyDescent="0.25">
      <c r="A369" s="85" t="s">
        <v>67</v>
      </c>
      <c r="B369" s="32" t="s">
        <v>70</v>
      </c>
      <c r="C369" s="33" t="s">
        <v>31</v>
      </c>
      <c r="D369" s="34" t="s">
        <v>29</v>
      </c>
      <c r="E369" s="129">
        <f>+[1]I.MODERN!C406</f>
        <v>0</v>
      </c>
      <c r="F369" s="130"/>
      <c r="G369" s="130"/>
      <c r="H369" s="131">
        <f>+[1]I.MODERN!F406</f>
        <v>0</v>
      </c>
      <c r="I369" s="131"/>
      <c r="J369" s="131"/>
      <c r="K369" s="131">
        <f>+[1]I.MODERN!I406</f>
        <v>1.63</v>
      </c>
      <c r="L369" s="131"/>
      <c r="M369" s="131"/>
      <c r="N369" s="131">
        <f>+[1]I.MODERN!L406</f>
        <v>1.27</v>
      </c>
      <c r="O369" s="131"/>
      <c r="P369" s="131"/>
      <c r="Q369" s="131">
        <f>+[1]I.MODERN!O406</f>
        <v>1</v>
      </c>
      <c r="R369" s="131"/>
      <c r="S369" s="131"/>
      <c r="T369" s="131">
        <f>+[1]I.MODERN!R406</f>
        <v>1.97</v>
      </c>
      <c r="U369" s="131"/>
      <c r="V369" s="131"/>
      <c r="W369" s="131">
        <f>+[1]I.MODERN!U406</f>
        <v>7.0000000000000007E-2</v>
      </c>
      <c r="X369" s="131"/>
      <c r="Y369" s="131"/>
      <c r="Z369" s="131">
        <f>+[1]I.MODERN!X406</f>
        <v>0</v>
      </c>
      <c r="AA369" s="131"/>
      <c r="AB369" s="131"/>
      <c r="AC369" s="131">
        <f>+[1]I.MODERN!AA406</f>
        <v>0</v>
      </c>
      <c r="AD369" s="131"/>
      <c r="AE369" s="131"/>
      <c r="AF369" s="131">
        <f>+[1]I.MODERN!AD406</f>
        <v>0</v>
      </c>
      <c r="AG369" s="131"/>
      <c r="AH369" s="131"/>
      <c r="AI369" s="131">
        <f>+[1]I.MODERN!AG406</f>
        <v>0</v>
      </c>
      <c r="AJ369" s="132"/>
      <c r="AK369" s="132"/>
      <c r="AL369" s="133">
        <f>+[1]I.MODERN!AJ406</f>
        <v>0</v>
      </c>
    </row>
    <row r="370" spans="1:38" x14ac:dyDescent="0.25">
      <c r="A370" s="85" t="s">
        <v>67</v>
      </c>
      <c r="B370" s="32" t="s">
        <v>70</v>
      </c>
      <c r="C370" s="33" t="s">
        <v>32</v>
      </c>
      <c r="D370" s="34" t="s">
        <v>29</v>
      </c>
      <c r="E370" s="129">
        <f>+[1]I.MODERN!C407</f>
        <v>0</v>
      </c>
      <c r="F370" s="130"/>
      <c r="G370" s="130"/>
      <c r="H370" s="131">
        <f>+[1]I.MODERN!F407</f>
        <v>0</v>
      </c>
      <c r="I370" s="131"/>
      <c r="J370" s="131"/>
      <c r="K370" s="131">
        <f>+[1]I.MODERN!I407</f>
        <v>0</v>
      </c>
      <c r="L370" s="131"/>
      <c r="M370" s="131"/>
      <c r="N370" s="131">
        <f>+[1]I.MODERN!L407</f>
        <v>0</v>
      </c>
      <c r="O370" s="131"/>
      <c r="P370" s="131"/>
      <c r="Q370" s="131">
        <f>+[1]I.MODERN!O407</f>
        <v>0</v>
      </c>
      <c r="R370" s="131"/>
      <c r="S370" s="131"/>
      <c r="T370" s="131">
        <f>+[1]I.MODERN!R407</f>
        <v>0</v>
      </c>
      <c r="U370" s="131"/>
      <c r="V370" s="131"/>
      <c r="W370" s="131">
        <f>+[1]I.MODERN!U407</f>
        <v>0</v>
      </c>
      <c r="X370" s="131"/>
      <c r="Y370" s="131"/>
      <c r="Z370" s="131">
        <f>+[1]I.MODERN!X407</f>
        <v>0</v>
      </c>
      <c r="AA370" s="131"/>
      <c r="AB370" s="131"/>
      <c r="AC370" s="131">
        <f>+[1]I.MODERN!AA407</f>
        <v>0</v>
      </c>
      <c r="AD370" s="131"/>
      <c r="AE370" s="131"/>
      <c r="AF370" s="131">
        <f>+[1]I.MODERN!AD407</f>
        <v>0</v>
      </c>
      <c r="AG370" s="131"/>
      <c r="AH370" s="131"/>
      <c r="AI370" s="131">
        <f>+[1]I.MODERN!AG407</f>
        <v>0</v>
      </c>
      <c r="AJ370" s="132"/>
      <c r="AK370" s="132"/>
      <c r="AL370" s="133">
        <f>+[1]I.MODERN!AJ407</f>
        <v>0</v>
      </c>
    </row>
    <row r="371" spans="1:38" x14ac:dyDescent="0.25">
      <c r="A371" s="85" t="s">
        <v>67</v>
      </c>
      <c r="B371" s="32" t="s">
        <v>70</v>
      </c>
      <c r="C371" s="33" t="s">
        <v>33</v>
      </c>
      <c r="D371" s="34" t="s">
        <v>29</v>
      </c>
      <c r="E371" s="129">
        <f>SUM(E367:E370)</f>
        <v>2</v>
      </c>
      <c r="F371" s="130"/>
      <c r="G371" s="130"/>
      <c r="H371" s="129">
        <f>SUM(H367:H370)</f>
        <v>2</v>
      </c>
      <c r="I371" s="131"/>
      <c r="J371" s="131"/>
      <c r="K371" s="129">
        <f>SUM(K367:K370)</f>
        <v>3.63</v>
      </c>
      <c r="L371" s="131"/>
      <c r="M371" s="131"/>
      <c r="N371" s="129">
        <f>SUM(N367:N370)</f>
        <v>3.27</v>
      </c>
      <c r="O371" s="131"/>
      <c r="P371" s="131"/>
      <c r="Q371" s="129">
        <f>SUM(Q367:Q370)</f>
        <v>3</v>
      </c>
      <c r="R371" s="131"/>
      <c r="S371" s="131"/>
      <c r="T371" s="129">
        <f>SUM(T367:T370)</f>
        <v>3.9699999999999998</v>
      </c>
      <c r="U371" s="131"/>
      <c r="V371" s="131"/>
      <c r="W371" s="129">
        <f>SUM(W367:W370)</f>
        <v>2.0699999999999998</v>
      </c>
      <c r="X371" s="131"/>
      <c r="Y371" s="131"/>
      <c r="Z371" s="129">
        <f>SUM(Z367:Z370)</f>
        <v>0</v>
      </c>
      <c r="AA371" s="131"/>
      <c r="AB371" s="131"/>
      <c r="AC371" s="129">
        <f>SUM(AC367:AC370)</f>
        <v>0</v>
      </c>
      <c r="AD371" s="131"/>
      <c r="AE371" s="131"/>
      <c r="AF371" s="129">
        <f>SUM(AF367:AF370)</f>
        <v>0</v>
      </c>
      <c r="AG371" s="131"/>
      <c r="AH371" s="131"/>
      <c r="AI371" s="129">
        <f>SUM(AI367:AI370)</f>
        <v>0</v>
      </c>
      <c r="AJ371" s="132"/>
      <c r="AK371" s="132"/>
      <c r="AL371" s="134">
        <f>SUM(AL367:AL370)</f>
        <v>0</v>
      </c>
    </row>
    <row r="372" spans="1:38" x14ac:dyDescent="0.25">
      <c r="A372" s="85" t="s">
        <v>67</v>
      </c>
      <c r="B372" s="32" t="s">
        <v>70</v>
      </c>
      <c r="C372" s="33" t="s">
        <v>34</v>
      </c>
      <c r="D372" s="34" t="s">
        <v>23</v>
      </c>
      <c r="E372" s="35">
        <f>+[1]I.MODERN!C411+[1]I.MODERN!C412+[1]I.MODERN!C413+[1]I.MODERN!C414</f>
        <v>199340.96</v>
      </c>
      <c r="F372" s="36"/>
      <c r="G372" s="36"/>
      <c r="H372" s="35">
        <f>+[1]I.MODERN!F411+[1]I.MODERN!F412+[1]I.MODERN!F413+[1]I.MODERN!F414</f>
        <v>219663.19</v>
      </c>
      <c r="I372" s="18"/>
      <c r="J372" s="18"/>
      <c r="K372" s="35">
        <f>+[1]I.MODERN!I411+[1]I.MODERN!I412+[1]I.MODERN!I413+[1]I.MODERN!I414</f>
        <v>218291.15831425769</v>
      </c>
      <c r="L372" s="18"/>
      <c r="M372" s="18"/>
      <c r="N372" s="35">
        <f>+[1]I.MODERN!L411+[1]I.MODERN!L412+[1]I.MODERN!L413+[1]I.MODERN!L414</f>
        <v>246450.45720770405</v>
      </c>
      <c r="O372" s="18"/>
      <c r="P372" s="18"/>
      <c r="Q372" s="35">
        <f>+[1]I.MODERN!O411+[1]I.MODERN!O412+[1]I.MODERN!O413+[1]I.MODERN!O414</f>
        <v>336740.25989087101</v>
      </c>
      <c r="R372" s="18"/>
      <c r="S372" s="18"/>
      <c r="T372" s="35">
        <f>+[1]I.MODERN!R411+[1]I.MODERN!R412+[1]I.MODERN!R413+[1]I.MODERN!R414</f>
        <v>495477.45677863824</v>
      </c>
      <c r="U372" s="18"/>
      <c r="V372" s="18"/>
      <c r="W372" s="35">
        <f>+[1]I.MODERN!U411+[1]I.MODERN!U412+[1]I.MODERN!U413+[1]I.MODERN!U414</f>
        <v>317899.20125517237</v>
      </c>
      <c r="X372" s="18"/>
      <c r="Y372" s="18"/>
      <c r="Z372" s="35">
        <f>+[1]I.MODERN!X411+[1]I.MODERN!X412+[1]I.MODERN!X413+[1]I.MODERN!X414</f>
        <v>0</v>
      </c>
      <c r="AA372" s="18"/>
      <c r="AB372" s="18"/>
      <c r="AC372" s="35">
        <f>+[1]I.MODERN!AA411+[1]I.MODERN!AA412+[1]I.MODERN!AA413+[1]I.MODERN!AA414</f>
        <v>0</v>
      </c>
      <c r="AD372" s="18"/>
      <c r="AE372" s="18"/>
      <c r="AF372" s="35">
        <f>+[1]I.MODERN!AD411+[1]I.MODERN!AD412+[1]I.MODERN!AD413+[1]I.MODERN!AD414</f>
        <v>0</v>
      </c>
      <c r="AG372" s="18"/>
      <c r="AH372" s="18"/>
      <c r="AI372" s="35">
        <f>+[1]I.MODERN!AG411+[1]I.MODERN!AG412+[1]I.MODERN!AG413+[1]I.MODERN!AG414</f>
        <v>0</v>
      </c>
      <c r="AJ372" s="19"/>
      <c r="AK372" s="19"/>
      <c r="AL372" s="92">
        <f>+[1]I.MODERN!AJ411+[1]I.MODERN!AJ412+[1]I.MODERN!AJ413+[1]I.MODERN!AJ414</f>
        <v>0</v>
      </c>
    </row>
    <row r="373" spans="1:38" x14ac:dyDescent="0.25">
      <c r="A373" s="85" t="s">
        <v>67</v>
      </c>
      <c r="B373" s="32" t="s">
        <v>70</v>
      </c>
      <c r="C373" s="33" t="s">
        <v>35</v>
      </c>
      <c r="D373" s="34" t="s">
        <v>23</v>
      </c>
      <c r="E373" s="35">
        <f>+[1]I.MODERN!C415</f>
        <v>0</v>
      </c>
      <c r="F373" s="36"/>
      <c r="G373" s="36"/>
      <c r="H373" s="35">
        <f>+[1]I.MODERN!F415</f>
        <v>0</v>
      </c>
      <c r="I373" s="18"/>
      <c r="J373" s="18"/>
      <c r="K373" s="35">
        <f>+[1]I.MODERN!I415</f>
        <v>0</v>
      </c>
      <c r="L373" s="18"/>
      <c r="M373" s="18"/>
      <c r="N373" s="35">
        <f>+[1]I.MODERN!L415</f>
        <v>0</v>
      </c>
      <c r="O373" s="18"/>
      <c r="P373" s="18"/>
      <c r="Q373" s="35">
        <f>+[1]I.MODERN!O415</f>
        <v>0</v>
      </c>
      <c r="R373" s="18"/>
      <c r="S373" s="18"/>
      <c r="T373" s="35">
        <f>+[1]I.MODERN!R415</f>
        <v>0</v>
      </c>
      <c r="U373" s="18"/>
      <c r="V373" s="18"/>
      <c r="W373" s="35">
        <f>+[1]I.MODERN!U415</f>
        <v>0</v>
      </c>
      <c r="X373" s="18"/>
      <c r="Y373" s="18"/>
      <c r="Z373" s="35">
        <f>+[1]I.MODERN!X415</f>
        <v>0</v>
      </c>
      <c r="AA373" s="18"/>
      <c r="AB373" s="18"/>
      <c r="AC373" s="35">
        <f>+[1]I.MODERN!AA415</f>
        <v>0</v>
      </c>
      <c r="AD373" s="18"/>
      <c r="AE373" s="18"/>
      <c r="AF373" s="35">
        <f>+[1]I.MODERN!AD415</f>
        <v>0</v>
      </c>
      <c r="AG373" s="18"/>
      <c r="AH373" s="18"/>
      <c r="AI373" s="35">
        <f>+[1]I.MODERN!AG415</f>
        <v>0</v>
      </c>
      <c r="AJ373" s="19"/>
      <c r="AK373" s="19"/>
      <c r="AL373" s="92">
        <f>+[1]I.MODERN!AJ415</f>
        <v>0</v>
      </c>
    </row>
    <row r="374" spans="1:38" x14ac:dyDescent="0.25">
      <c r="A374" s="85" t="s">
        <v>67</v>
      </c>
      <c r="B374" s="32" t="s">
        <v>70</v>
      </c>
      <c r="C374" s="33" t="s">
        <v>36</v>
      </c>
      <c r="D374" s="34" t="s">
        <v>23</v>
      </c>
      <c r="E374" s="35">
        <f>+[1]I.MODERN!C416</f>
        <v>73426.600000000006</v>
      </c>
      <c r="F374" s="36"/>
      <c r="G374" s="36"/>
      <c r="H374" s="35">
        <f>+[1]I.MODERN!F416</f>
        <v>140617.70000000001</v>
      </c>
      <c r="I374" s="18"/>
      <c r="J374" s="18"/>
      <c r="K374" s="35">
        <f>+[1]I.MODERN!I416</f>
        <v>95532.95</v>
      </c>
      <c r="L374" s="18"/>
      <c r="M374" s="18"/>
      <c r="N374" s="35">
        <f>+[1]I.MODERN!L416</f>
        <v>129642.00000000001</v>
      </c>
      <c r="O374" s="18"/>
      <c r="P374" s="18"/>
      <c r="Q374" s="35">
        <f>+[1]I.MODERN!O416</f>
        <v>99911.63</v>
      </c>
      <c r="R374" s="18"/>
      <c r="S374" s="18"/>
      <c r="T374" s="35">
        <f>+[1]I.MODERN!R416</f>
        <v>240551.86</v>
      </c>
      <c r="U374" s="18"/>
      <c r="V374" s="18"/>
      <c r="W374" s="35">
        <f>+[1]I.MODERN!U416</f>
        <v>9142.5</v>
      </c>
      <c r="X374" s="18"/>
      <c r="Y374" s="18"/>
      <c r="Z374" s="35">
        <f>+[1]I.MODERN!X416</f>
        <v>0</v>
      </c>
      <c r="AA374" s="18"/>
      <c r="AB374" s="18"/>
      <c r="AC374" s="35">
        <f>+[1]I.MODERN!AA416</f>
        <v>0</v>
      </c>
      <c r="AD374" s="18"/>
      <c r="AE374" s="18"/>
      <c r="AF374" s="35">
        <f>+[1]I.MODERN!AD416</f>
        <v>0</v>
      </c>
      <c r="AG374" s="18"/>
      <c r="AH374" s="18"/>
      <c r="AI374" s="35">
        <f>+[1]I.MODERN!AG416</f>
        <v>0</v>
      </c>
      <c r="AJ374" s="19"/>
      <c r="AK374" s="19"/>
      <c r="AL374" s="92">
        <f>+[1]I.MODERN!AJ416</f>
        <v>0</v>
      </c>
    </row>
    <row r="375" spans="1:38" x14ac:dyDescent="0.25">
      <c r="A375" s="85" t="s">
        <v>67</v>
      </c>
      <c r="B375" s="32" t="s">
        <v>70</v>
      </c>
      <c r="C375" s="33" t="s">
        <v>37</v>
      </c>
      <c r="D375" s="34" t="s">
        <v>23</v>
      </c>
      <c r="E375" s="37">
        <f>SUM(E372:E374)</f>
        <v>272767.56</v>
      </c>
      <c r="F375" s="38"/>
      <c r="G375" s="38"/>
      <c r="H375" s="37">
        <f>SUM(H372:H374)</f>
        <v>360280.89</v>
      </c>
      <c r="I375" s="39"/>
      <c r="J375" s="39"/>
      <c r="K375" s="37">
        <f>SUM(K372:K374)</f>
        <v>313824.1083142577</v>
      </c>
      <c r="L375" s="39"/>
      <c r="M375" s="39"/>
      <c r="N375" s="37">
        <f>SUM(N372:N374)</f>
        <v>376092.45720770408</v>
      </c>
      <c r="O375" s="39"/>
      <c r="P375" s="39"/>
      <c r="Q375" s="37">
        <f>SUM(Q372:Q374)</f>
        <v>436651.88989087101</v>
      </c>
      <c r="R375" s="39"/>
      <c r="S375" s="39"/>
      <c r="T375" s="37">
        <f>SUM(T372:T374)</f>
        <v>736029.31677863817</v>
      </c>
      <c r="U375" s="39"/>
      <c r="V375" s="39"/>
      <c r="W375" s="37">
        <f>SUM(W372:W374)</f>
        <v>327041.70125517237</v>
      </c>
      <c r="X375" s="39"/>
      <c r="Y375" s="39"/>
      <c r="Z375" s="37">
        <f>SUM(Z372:Z374)</f>
        <v>0</v>
      </c>
      <c r="AA375" s="39"/>
      <c r="AB375" s="39"/>
      <c r="AC375" s="37">
        <f>SUM(AC372:AC374)</f>
        <v>0</v>
      </c>
      <c r="AD375" s="39"/>
      <c r="AE375" s="39"/>
      <c r="AF375" s="37">
        <f>SUM(AF372:AF374)</f>
        <v>0</v>
      </c>
      <c r="AG375" s="39"/>
      <c r="AH375" s="39"/>
      <c r="AI375" s="37">
        <f>SUM(AI372:AI374)</f>
        <v>0</v>
      </c>
      <c r="AJ375" s="40"/>
      <c r="AK375" s="40"/>
      <c r="AL375" s="93">
        <f>SUM(AL372:AL374)</f>
        <v>0</v>
      </c>
    </row>
    <row r="376" spans="1:38" x14ac:dyDescent="0.25">
      <c r="A376" s="73" t="s">
        <v>67</v>
      </c>
      <c r="B376" s="6" t="s">
        <v>70</v>
      </c>
      <c r="C376" s="7" t="s">
        <v>38</v>
      </c>
      <c r="D376" s="8" t="s">
        <v>23</v>
      </c>
      <c r="E376" s="28">
        <f>IFERROR(E375/E371,0)</f>
        <v>136383.78</v>
      </c>
      <c r="F376" s="29"/>
      <c r="G376" s="29"/>
      <c r="H376" s="28">
        <f>IFERROR(H375/H371,0)</f>
        <v>180140.44500000001</v>
      </c>
      <c r="I376" s="30"/>
      <c r="J376" s="30"/>
      <c r="K376" s="28">
        <f>IFERROR(K375/K371,0)</f>
        <v>86452.922400621959</v>
      </c>
      <c r="L376" s="30"/>
      <c r="M376" s="30"/>
      <c r="N376" s="28">
        <f>IFERROR(N375/N371,0)</f>
        <v>115012.983855567</v>
      </c>
      <c r="O376" s="30"/>
      <c r="P376" s="30"/>
      <c r="Q376" s="28">
        <f>IFERROR(Q375/Q371,0)</f>
        <v>145550.62996362368</v>
      </c>
      <c r="R376" s="30"/>
      <c r="S376" s="30"/>
      <c r="T376" s="28">
        <f>IFERROR(T375/T371,0)</f>
        <v>185397.81279058897</v>
      </c>
      <c r="U376" s="30"/>
      <c r="V376" s="30"/>
      <c r="W376" s="28">
        <f>IFERROR(W375/W371,0)</f>
        <v>157991.16002665332</v>
      </c>
      <c r="X376" s="30"/>
      <c r="Y376" s="30"/>
      <c r="Z376" s="28">
        <f>IFERROR(Z375/Z371,0)</f>
        <v>0</v>
      </c>
      <c r="AA376" s="30"/>
      <c r="AB376" s="30"/>
      <c r="AC376" s="28">
        <f>IFERROR(AC375/AC371,0)</f>
        <v>0</v>
      </c>
      <c r="AD376" s="30"/>
      <c r="AE376" s="30"/>
      <c r="AF376" s="28">
        <f>IFERROR(AF375/AF371,0)</f>
        <v>0</v>
      </c>
      <c r="AG376" s="30"/>
      <c r="AH376" s="30"/>
      <c r="AI376" s="28">
        <f>IFERROR(AI375/AI371,0)</f>
        <v>0</v>
      </c>
      <c r="AJ376" s="31"/>
      <c r="AK376" s="31"/>
      <c r="AL376" s="94">
        <f>IFERROR(AL375/AL371,0)</f>
        <v>0</v>
      </c>
    </row>
    <row r="377" spans="1:38" x14ac:dyDescent="0.25">
      <c r="A377" s="73" t="s">
        <v>67</v>
      </c>
      <c r="B377" s="6" t="s">
        <v>70</v>
      </c>
      <c r="C377" s="7" t="s">
        <v>39</v>
      </c>
      <c r="D377" s="8" t="s">
        <v>23</v>
      </c>
      <c r="E377" s="41">
        <f>+[1]I.MODERN!C440</f>
        <v>0</v>
      </c>
      <c r="F377" s="42"/>
      <c r="G377" s="42"/>
      <c r="H377" s="43">
        <f>+[1]I.MODERN!F440</f>
        <v>0</v>
      </c>
      <c r="I377" s="43"/>
      <c r="J377" s="43"/>
      <c r="K377" s="43">
        <f>+[1]I.MODERN!I440</f>
        <v>0</v>
      </c>
      <c r="L377" s="43"/>
      <c r="M377" s="43"/>
      <c r="N377" s="43">
        <f>+[1]I.MODERN!L440</f>
        <v>0</v>
      </c>
      <c r="O377" s="43"/>
      <c r="P377" s="43"/>
      <c r="Q377" s="43">
        <f>+[1]I.MODERN!O440</f>
        <v>0</v>
      </c>
      <c r="R377" s="43"/>
      <c r="S377" s="43"/>
      <c r="T377" s="43">
        <f>+[1]I.MODERN!R440</f>
        <v>0</v>
      </c>
      <c r="U377" s="43"/>
      <c r="V377" s="43"/>
      <c r="W377" s="43">
        <f>+[1]I.MODERN!U440</f>
        <v>0</v>
      </c>
      <c r="X377" s="43"/>
      <c r="Y377" s="43"/>
      <c r="Z377" s="43">
        <f>+[1]I.MODERN!X440</f>
        <v>0</v>
      </c>
      <c r="AA377" s="43"/>
      <c r="AB377" s="43"/>
      <c r="AC377" s="43">
        <f>+[1]I.MODERN!AA440</f>
        <v>0</v>
      </c>
      <c r="AD377" s="43"/>
      <c r="AE377" s="43"/>
      <c r="AF377" s="43">
        <f>+[1]I.MODERN!AD440</f>
        <v>0</v>
      </c>
      <c r="AG377" s="43"/>
      <c r="AH377" s="43"/>
      <c r="AI377" s="43">
        <f>+[1]I.MODERN!AG440</f>
        <v>0</v>
      </c>
      <c r="AJ377" s="44"/>
      <c r="AK377" s="44"/>
      <c r="AL377" s="95">
        <f>+[1]I.MODERN!AJ440</f>
        <v>0</v>
      </c>
    </row>
    <row r="378" spans="1:38" x14ac:dyDescent="0.25">
      <c r="A378" s="73" t="s">
        <v>67</v>
      </c>
      <c r="B378" s="6" t="s">
        <v>70</v>
      </c>
      <c r="C378" s="7" t="s">
        <v>40</v>
      </c>
      <c r="D378" s="34" t="s">
        <v>23</v>
      </c>
      <c r="E378" s="45">
        <f>+[1]I.MODERN!C441</f>
        <v>0</v>
      </c>
      <c r="F378" s="46"/>
      <c r="G378" s="46"/>
      <c r="H378" s="47">
        <f>+[1]I.MODERN!F441</f>
        <v>0</v>
      </c>
      <c r="I378" s="47"/>
      <c r="J378" s="47"/>
      <c r="K378" s="47">
        <f>+[1]I.MODERN!I441</f>
        <v>0</v>
      </c>
      <c r="L378" s="47"/>
      <c r="M378" s="47"/>
      <c r="N378" s="47">
        <f>+[1]I.MODERN!L441</f>
        <v>0</v>
      </c>
      <c r="O378" s="47"/>
      <c r="P378" s="47"/>
      <c r="Q378" s="47">
        <f>+[1]I.MODERN!O441</f>
        <v>0</v>
      </c>
      <c r="R378" s="47"/>
      <c r="S378" s="47"/>
      <c r="T378" s="47">
        <f>+[1]I.MODERN!R441</f>
        <v>0</v>
      </c>
      <c r="U378" s="47"/>
      <c r="V378" s="47"/>
      <c r="W378" s="47">
        <f>+[1]I.MODERN!U441</f>
        <v>0</v>
      </c>
      <c r="X378" s="47"/>
      <c r="Y378" s="47"/>
      <c r="Z378" s="47">
        <f>+[1]I.MODERN!X441</f>
        <v>0</v>
      </c>
      <c r="AA378" s="47"/>
      <c r="AB378" s="47"/>
      <c r="AC378" s="47">
        <f>+[1]I.MODERN!AA441</f>
        <v>0</v>
      </c>
      <c r="AD378" s="47"/>
      <c r="AE378" s="47"/>
      <c r="AF378" s="47">
        <f>+[1]I.MODERN!AD441</f>
        <v>0</v>
      </c>
      <c r="AG378" s="47"/>
      <c r="AH378" s="47"/>
      <c r="AI378" s="47">
        <f>+[1]I.MODERN!AG441</f>
        <v>0</v>
      </c>
      <c r="AJ378" s="48"/>
      <c r="AK378" s="48"/>
      <c r="AL378" s="96">
        <f>+[1]I.MODERN!AJ441</f>
        <v>0</v>
      </c>
    </row>
    <row r="379" spans="1:38" x14ac:dyDescent="0.25">
      <c r="A379" s="73" t="s">
        <v>67</v>
      </c>
      <c r="B379" s="6" t="s">
        <v>70</v>
      </c>
      <c r="C379" s="7" t="s">
        <v>41</v>
      </c>
      <c r="D379" s="34" t="s">
        <v>23</v>
      </c>
      <c r="E379" s="45">
        <f>+[1]I.MODERN!C442</f>
        <v>0</v>
      </c>
      <c r="F379" s="46"/>
      <c r="G379" s="46"/>
      <c r="H379" s="47">
        <f>+[1]I.MODERN!F442</f>
        <v>0</v>
      </c>
      <c r="I379" s="47"/>
      <c r="J379" s="47"/>
      <c r="K379" s="47">
        <f>+[1]I.MODERN!I442</f>
        <v>0</v>
      </c>
      <c r="L379" s="47"/>
      <c r="M379" s="47"/>
      <c r="N379" s="47">
        <f>+[1]I.MODERN!L442</f>
        <v>0</v>
      </c>
      <c r="O379" s="47"/>
      <c r="P379" s="47"/>
      <c r="Q379" s="47">
        <f>+[1]I.MODERN!O442</f>
        <v>0</v>
      </c>
      <c r="R379" s="47"/>
      <c r="S379" s="47"/>
      <c r="T379" s="47">
        <f>+[1]I.MODERN!R442</f>
        <v>0</v>
      </c>
      <c r="U379" s="47"/>
      <c r="V379" s="47"/>
      <c r="W379" s="47">
        <f>+[1]I.MODERN!U442</f>
        <v>0</v>
      </c>
      <c r="X379" s="47"/>
      <c r="Y379" s="47"/>
      <c r="Z379" s="47">
        <f>+[1]I.MODERN!X442</f>
        <v>0</v>
      </c>
      <c r="AA379" s="47"/>
      <c r="AB379" s="47"/>
      <c r="AC379" s="47">
        <f>+[1]I.MODERN!AA442</f>
        <v>0</v>
      </c>
      <c r="AD379" s="47"/>
      <c r="AE379" s="47"/>
      <c r="AF379" s="47">
        <f>+[1]I.MODERN!AD442</f>
        <v>0</v>
      </c>
      <c r="AG379" s="47"/>
      <c r="AH379" s="47"/>
      <c r="AI379" s="47">
        <f>+[1]I.MODERN!AG442</f>
        <v>0</v>
      </c>
      <c r="AJ379" s="48"/>
      <c r="AK379" s="48"/>
      <c r="AL379" s="96">
        <f>+[1]I.MODERN!AJ442</f>
        <v>0</v>
      </c>
    </row>
    <row r="380" spans="1:38" x14ac:dyDescent="0.25">
      <c r="A380" s="73" t="s">
        <v>67</v>
      </c>
      <c r="B380" s="6" t="s">
        <v>70</v>
      </c>
      <c r="C380" s="7" t="s">
        <v>42</v>
      </c>
      <c r="D380" s="34" t="s">
        <v>43</v>
      </c>
      <c r="E380" s="97">
        <v>0</v>
      </c>
      <c r="F380" s="98"/>
      <c r="G380" s="98"/>
      <c r="H380" s="99">
        <v>0</v>
      </c>
      <c r="I380" s="99"/>
      <c r="J380" s="99"/>
      <c r="K380" s="99">
        <v>0</v>
      </c>
      <c r="L380" s="99"/>
      <c r="M380" s="99"/>
      <c r="N380" s="99">
        <v>0</v>
      </c>
      <c r="O380" s="99"/>
      <c r="P380" s="99"/>
      <c r="Q380" s="99">
        <v>0</v>
      </c>
      <c r="R380" s="99"/>
      <c r="S380" s="99"/>
      <c r="T380" s="99">
        <v>0</v>
      </c>
      <c r="U380" s="99"/>
      <c r="V380" s="99"/>
      <c r="W380" s="99">
        <v>0</v>
      </c>
      <c r="X380" s="99"/>
      <c r="Y380" s="99"/>
      <c r="Z380" s="99">
        <v>0</v>
      </c>
      <c r="AA380" s="99"/>
      <c r="AB380" s="99"/>
      <c r="AC380" s="99">
        <v>0</v>
      </c>
      <c r="AD380" s="99"/>
      <c r="AE380" s="99"/>
      <c r="AF380" s="99">
        <v>0</v>
      </c>
      <c r="AG380" s="99"/>
      <c r="AH380" s="99"/>
      <c r="AI380" s="99">
        <v>0</v>
      </c>
      <c r="AJ380" s="100"/>
      <c r="AK380" s="100"/>
      <c r="AL380" s="101">
        <v>0</v>
      </c>
    </row>
    <row r="381" spans="1:38" x14ac:dyDescent="0.25">
      <c r="A381" s="73" t="s">
        <v>67</v>
      </c>
      <c r="B381" s="6" t="s">
        <v>70</v>
      </c>
      <c r="C381" s="7" t="s">
        <v>44</v>
      </c>
      <c r="D381" s="34" t="s">
        <v>45</v>
      </c>
      <c r="E381" s="102">
        <v>0</v>
      </c>
      <c r="F381" s="103"/>
      <c r="G381" s="103"/>
      <c r="H381" s="104">
        <v>0</v>
      </c>
      <c r="I381" s="104"/>
      <c r="J381" s="104"/>
      <c r="K381" s="104">
        <v>0</v>
      </c>
      <c r="L381" s="104"/>
      <c r="M381" s="104"/>
      <c r="N381" s="104">
        <v>0</v>
      </c>
      <c r="O381" s="104"/>
      <c r="P381" s="104"/>
      <c r="Q381" s="104">
        <v>0</v>
      </c>
      <c r="R381" s="104"/>
      <c r="S381" s="104"/>
      <c r="T381" s="104">
        <v>0</v>
      </c>
      <c r="U381" s="104"/>
      <c r="V381" s="104"/>
      <c r="W381" s="104">
        <v>0</v>
      </c>
      <c r="X381" s="104"/>
      <c r="Y381" s="104"/>
      <c r="Z381" s="104">
        <v>0</v>
      </c>
      <c r="AA381" s="104"/>
      <c r="AB381" s="104"/>
      <c r="AC381" s="104">
        <v>0</v>
      </c>
      <c r="AD381" s="104"/>
      <c r="AE381" s="104"/>
      <c r="AF381" s="104">
        <v>0</v>
      </c>
      <c r="AG381" s="104"/>
      <c r="AH381" s="104"/>
      <c r="AI381" s="104">
        <v>0</v>
      </c>
      <c r="AJ381" s="105"/>
      <c r="AK381" s="105"/>
      <c r="AL381" s="106">
        <v>0</v>
      </c>
    </row>
    <row r="382" spans="1:38" x14ac:dyDescent="0.25">
      <c r="A382" s="73" t="s">
        <v>67</v>
      </c>
      <c r="B382" s="6" t="s">
        <v>70</v>
      </c>
      <c r="C382" s="7" t="s">
        <v>46</v>
      </c>
      <c r="D382" s="34" t="s">
        <v>45</v>
      </c>
      <c r="E382" s="107">
        <v>0</v>
      </c>
      <c r="F382" s="108"/>
      <c r="G382" s="108"/>
      <c r="H382" s="109">
        <v>0</v>
      </c>
      <c r="I382" s="109"/>
      <c r="J382" s="109"/>
      <c r="K382" s="109">
        <v>0</v>
      </c>
      <c r="L382" s="109"/>
      <c r="M382" s="109"/>
      <c r="N382" s="109">
        <v>0</v>
      </c>
      <c r="O382" s="109"/>
      <c r="P382" s="109"/>
      <c r="Q382" s="109">
        <v>0</v>
      </c>
      <c r="R382" s="109"/>
      <c r="S382" s="109"/>
      <c r="T382" s="109">
        <v>0</v>
      </c>
      <c r="U382" s="109"/>
      <c r="V382" s="109"/>
      <c r="W382" s="109">
        <v>0</v>
      </c>
      <c r="X382" s="109"/>
      <c r="Y382" s="109"/>
      <c r="Z382" s="109">
        <v>0</v>
      </c>
      <c r="AA382" s="109"/>
      <c r="AB382" s="109"/>
      <c r="AC382" s="109">
        <v>0</v>
      </c>
      <c r="AD382" s="109"/>
      <c r="AE382" s="109"/>
      <c r="AF382" s="109">
        <v>0</v>
      </c>
      <c r="AG382" s="109"/>
      <c r="AH382" s="109"/>
      <c r="AI382" s="109">
        <v>0</v>
      </c>
      <c r="AJ382" s="110"/>
      <c r="AK382" s="110"/>
      <c r="AL382" s="111">
        <v>0</v>
      </c>
    </row>
    <row r="383" spans="1:38" x14ac:dyDescent="0.25">
      <c r="A383" s="73" t="s">
        <v>67</v>
      </c>
      <c r="B383" s="6" t="s">
        <v>70</v>
      </c>
      <c r="C383" s="7" t="s">
        <v>47</v>
      </c>
      <c r="D383" s="8" t="s">
        <v>23</v>
      </c>
      <c r="E383" s="49">
        <f>IFERROR(+E377/E380,0)</f>
        <v>0</v>
      </c>
      <c r="F383" s="50"/>
      <c r="G383" s="50"/>
      <c r="H383" s="51">
        <f>IFERROR(+H377/H380,0)</f>
        <v>0</v>
      </c>
      <c r="I383" s="52"/>
      <c r="J383" s="52"/>
      <c r="K383" s="51">
        <f>IFERROR(+K377/K380,0)</f>
        <v>0</v>
      </c>
      <c r="L383" s="52"/>
      <c r="M383" s="52"/>
      <c r="N383" s="51">
        <f>IFERROR(+N377/N380,0)</f>
        <v>0</v>
      </c>
      <c r="O383" s="52"/>
      <c r="P383" s="52"/>
      <c r="Q383" s="51">
        <f>IFERROR(+Q377/Q380,0)</f>
        <v>0</v>
      </c>
      <c r="R383" s="52"/>
      <c r="S383" s="52"/>
      <c r="T383" s="51">
        <f>IFERROR(+T377/T380,0)</f>
        <v>0</v>
      </c>
      <c r="U383" s="52"/>
      <c r="V383" s="52"/>
      <c r="W383" s="51">
        <f>IFERROR(+W377/W380,0)</f>
        <v>0</v>
      </c>
      <c r="X383" s="52"/>
      <c r="Y383" s="52"/>
      <c r="Z383" s="51">
        <f>IFERROR(+Z377/Z380,0)</f>
        <v>0</v>
      </c>
      <c r="AA383" s="52"/>
      <c r="AB383" s="52"/>
      <c r="AC383" s="51">
        <f>IFERROR(+AC377/AC380,0)</f>
        <v>0</v>
      </c>
      <c r="AD383" s="52"/>
      <c r="AE383" s="52"/>
      <c r="AF383" s="51">
        <f>IFERROR(+AF377/AF380,0)</f>
        <v>0</v>
      </c>
      <c r="AG383" s="52"/>
      <c r="AH383" s="52"/>
      <c r="AI383" s="51">
        <f>IFERROR(+AI377/AI380,0)</f>
        <v>0</v>
      </c>
      <c r="AJ383" s="53"/>
      <c r="AK383" s="53"/>
      <c r="AL383" s="112">
        <f>IFERROR(+AL377/AL380,0)</f>
        <v>0</v>
      </c>
    </row>
    <row r="384" spans="1:38" x14ac:dyDescent="0.25">
      <c r="A384" s="73" t="s">
        <v>67</v>
      </c>
      <c r="B384" s="6" t="s">
        <v>70</v>
      </c>
      <c r="C384" s="7" t="s">
        <v>48</v>
      </c>
      <c r="D384" s="34" t="s">
        <v>23</v>
      </c>
      <c r="E384" s="49">
        <f>IFERROR(+E378/E381,0)</f>
        <v>0</v>
      </c>
      <c r="F384" s="50"/>
      <c r="G384" s="50"/>
      <c r="H384" s="51">
        <f>IFERROR(+H378/H381,0)</f>
        <v>0</v>
      </c>
      <c r="I384" s="52"/>
      <c r="J384" s="52"/>
      <c r="K384" s="51">
        <f>IFERROR(+K378/K381,0)</f>
        <v>0</v>
      </c>
      <c r="L384" s="52"/>
      <c r="M384" s="52"/>
      <c r="N384" s="51">
        <f>IFERROR(+N378/N381,0)</f>
        <v>0</v>
      </c>
      <c r="O384" s="52"/>
      <c r="P384" s="52"/>
      <c r="Q384" s="51">
        <f>IFERROR(+Q378/Q381,0)</f>
        <v>0</v>
      </c>
      <c r="R384" s="52"/>
      <c r="S384" s="52"/>
      <c r="T384" s="51">
        <f>IFERROR(+T378/T381,0)</f>
        <v>0</v>
      </c>
      <c r="U384" s="52"/>
      <c r="V384" s="52"/>
      <c r="W384" s="51">
        <f>IFERROR(+W378/W381,0)</f>
        <v>0</v>
      </c>
      <c r="X384" s="52"/>
      <c r="Y384" s="52"/>
      <c r="Z384" s="51">
        <f>IFERROR(+Z378/Z381,0)</f>
        <v>0</v>
      </c>
      <c r="AA384" s="52"/>
      <c r="AB384" s="52"/>
      <c r="AC384" s="51">
        <f>IFERROR(+AC378/AC381,0)</f>
        <v>0</v>
      </c>
      <c r="AD384" s="52"/>
      <c r="AE384" s="52"/>
      <c r="AF384" s="51">
        <f>IFERROR(+AF378/AF381,0)</f>
        <v>0</v>
      </c>
      <c r="AG384" s="52"/>
      <c r="AH384" s="52"/>
      <c r="AI384" s="51">
        <f>IFERROR(+AI378/AI381,0)</f>
        <v>0</v>
      </c>
      <c r="AJ384" s="53"/>
      <c r="AK384" s="53"/>
      <c r="AL384" s="112">
        <f>IFERROR(+AL378/AL381,0)</f>
        <v>0</v>
      </c>
    </row>
    <row r="385" spans="1:38" x14ac:dyDescent="0.25">
      <c r="A385" s="73" t="s">
        <v>67</v>
      </c>
      <c r="B385" s="6" t="s">
        <v>70</v>
      </c>
      <c r="C385" s="7" t="s">
        <v>49</v>
      </c>
      <c r="D385" s="34" t="s">
        <v>23</v>
      </c>
      <c r="E385" s="54">
        <f>IFERROR(+E379/E382,0)</f>
        <v>0</v>
      </c>
      <c r="F385" s="55"/>
      <c r="G385" s="55"/>
      <c r="H385" s="56">
        <f>IFERROR(+H379/H382,0)</f>
        <v>0</v>
      </c>
      <c r="I385" s="57"/>
      <c r="J385" s="57"/>
      <c r="K385" s="56">
        <f>IFERROR(+K379/K382,0)</f>
        <v>0</v>
      </c>
      <c r="L385" s="57"/>
      <c r="M385" s="57"/>
      <c r="N385" s="56">
        <f>IFERROR(+N379/N382,0)</f>
        <v>0</v>
      </c>
      <c r="O385" s="57"/>
      <c r="P385" s="57"/>
      <c r="Q385" s="56">
        <f>IFERROR(+Q379/Q382,0)</f>
        <v>0</v>
      </c>
      <c r="R385" s="57"/>
      <c r="S385" s="57"/>
      <c r="T385" s="56">
        <f>IFERROR(+T379/T382,0)</f>
        <v>0</v>
      </c>
      <c r="U385" s="57"/>
      <c r="V385" s="57"/>
      <c r="W385" s="56">
        <f>IFERROR(+W379/W382,0)</f>
        <v>0</v>
      </c>
      <c r="X385" s="57"/>
      <c r="Y385" s="57"/>
      <c r="Z385" s="56">
        <f>IFERROR(+Z379/Z382,0)</f>
        <v>0</v>
      </c>
      <c r="AA385" s="57"/>
      <c r="AB385" s="57"/>
      <c r="AC385" s="56">
        <f>IFERROR(+AC379/AC382,0)</f>
        <v>0</v>
      </c>
      <c r="AD385" s="57"/>
      <c r="AE385" s="57"/>
      <c r="AF385" s="56">
        <f>IFERROR(+AF379/AF382,0)</f>
        <v>0</v>
      </c>
      <c r="AG385" s="57"/>
      <c r="AH385" s="57"/>
      <c r="AI385" s="56">
        <f>IFERROR(+AI379/AI382,0)</f>
        <v>0</v>
      </c>
      <c r="AJ385" s="58"/>
      <c r="AK385" s="58"/>
      <c r="AL385" s="113">
        <f>IFERROR(+AL379/AL382,0)</f>
        <v>0</v>
      </c>
    </row>
    <row r="386" spans="1:38" x14ac:dyDescent="0.25">
      <c r="A386" s="73" t="s">
        <v>67</v>
      </c>
      <c r="B386" s="6" t="s">
        <v>70</v>
      </c>
      <c r="C386" s="7" t="s">
        <v>50</v>
      </c>
      <c r="D386" s="8" t="s">
        <v>23</v>
      </c>
      <c r="E386" s="59">
        <f>+[1]I.MODERN!C467</f>
        <v>52241.02</v>
      </c>
      <c r="F386" s="60"/>
      <c r="G386" s="60"/>
      <c r="H386" s="61">
        <f>+[1]I.MODERN!F467</f>
        <v>361717.4</v>
      </c>
      <c r="I386" s="61"/>
      <c r="J386" s="61"/>
      <c r="K386" s="61">
        <f>+[1]I.MODERN!I467</f>
        <v>216824.74</v>
      </c>
      <c r="L386" s="61"/>
      <c r="M386" s="61"/>
      <c r="N386" s="61">
        <f>+[1]I.MODERN!L467</f>
        <v>509960.92</v>
      </c>
      <c r="O386" s="61"/>
      <c r="P386" s="61"/>
      <c r="Q386" s="61">
        <f>+[1]I.MODERN!O467</f>
        <v>420552.83</v>
      </c>
      <c r="R386" s="61"/>
      <c r="S386" s="61"/>
      <c r="T386" s="61">
        <f>+[1]I.MODERN!R467</f>
        <v>558784.12</v>
      </c>
      <c r="U386" s="61"/>
      <c r="V386" s="61"/>
      <c r="W386" s="61">
        <f>+[1]I.MODERN!U467</f>
        <v>120930.03</v>
      </c>
      <c r="X386" s="61"/>
      <c r="Y386" s="61"/>
      <c r="Z386" s="61">
        <f>+[1]I.MODERN!X467</f>
        <v>0</v>
      </c>
      <c r="AA386" s="61"/>
      <c r="AB386" s="61"/>
      <c r="AC386" s="61">
        <f>+[1]I.MODERN!AA467</f>
        <v>0</v>
      </c>
      <c r="AD386" s="61"/>
      <c r="AE386" s="61"/>
      <c r="AF386" s="61">
        <f>+[1]I.MODERN!AD467</f>
        <v>0</v>
      </c>
      <c r="AG386" s="61"/>
      <c r="AH386" s="61"/>
      <c r="AI386" s="61">
        <f>+[1]I.MODERN!AG467</f>
        <v>0</v>
      </c>
      <c r="AJ386" s="62"/>
      <c r="AK386" s="62"/>
      <c r="AL386" s="114">
        <f>+[1]I.MODERN!AJ467</f>
        <v>0</v>
      </c>
    </row>
    <row r="387" spans="1:38" x14ac:dyDescent="0.25">
      <c r="A387" s="73" t="s">
        <v>67</v>
      </c>
      <c r="B387" s="6" t="s">
        <v>70</v>
      </c>
      <c r="C387" s="7" t="s">
        <v>51</v>
      </c>
      <c r="D387" s="8" t="s">
        <v>20</v>
      </c>
      <c r="E387" s="9"/>
      <c r="F387" s="10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2"/>
      <c r="AK387" s="12"/>
      <c r="AL387" s="74"/>
    </row>
    <row r="388" spans="1:38" x14ac:dyDescent="0.25">
      <c r="A388" s="85" t="s">
        <v>67</v>
      </c>
      <c r="B388" s="32" t="s">
        <v>70</v>
      </c>
      <c r="C388" s="33" t="s">
        <v>52</v>
      </c>
      <c r="D388" s="34" t="s">
        <v>23</v>
      </c>
      <c r="E388" s="24">
        <f>+[1]I.MODERN!C475</f>
        <v>195050.41360656661</v>
      </c>
      <c r="F388" s="25"/>
      <c r="G388" s="25"/>
      <c r="H388" s="26">
        <f>+[1]I.MODERN!F475</f>
        <v>559202.7701131755</v>
      </c>
      <c r="I388" s="26"/>
      <c r="J388" s="26"/>
      <c r="K388" s="26">
        <f>+[1]I.MODERN!I475</f>
        <v>226425.05989055827</v>
      </c>
      <c r="L388" s="26"/>
      <c r="M388" s="26"/>
      <c r="N388" s="26">
        <f>+[1]I.MODERN!L475</f>
        <v>607469.10184979206</v>
      </c>
      <c r="O388" s="26"/>
      <c r="P388" s="26"/>
      <c r="Q388" s="26">
        <f>+[1]I.MODERN!O475</f>
        <v>429486.22043569601</v>
      </c>
      <c r="R388" s="26"/>
      <c r="S388" s="26"/>
      <c r="T388" s="26">
        <f>+[1]I.MODERN!R475</f>
        <v>470214.16004878678</v>
      </c>
      <c r="U388" s="26"/>
      <c r="V388" s="26"/>
      <c r="W388" s="26">
        <f>+[1]I.MODERN!U475</f>
        <v>22133.668397279111</v>
      </c>
      <c r="X388" s="26"/>
      <c r="Y388" s="26"/>
      <c r="Z388" s="26">
        <f>+[1]I.MODERN!X475</f>
        <v>0</v>
      </c>
      <c r="AA388" s="26"/>
      <c r="AB388" s="26"/>
      <c r="AC388" s="26">
        <f>+[1]I.MODERN!AA475</f>
        <v>0</v>
      </c>
      <c r="AD388" s="26"/>
      <c r="AE388" s="26"/>
      <c r="AF388" s="26">
        <f>+[1]I.MODERN!AD475</f>
        <v>0</v>
      </c>
      <c r="AG388" s="26"/>
      <c r="AH388" s="26"/>
      <c r="AI388" s="26">
        <f>+[1]I.MODERN!AG475</f>
        <v>0</v>
      </c>
      <c r="AJ388" s="27"/>
      <c r="AK388" s="27"/>
      <c r="AL388" s="78">
        <f>+[1]I.MODERN!AJ475</f>
        <v>0</v>
      </c>
    </row>
    <row r="389" spans="1:38" x14ac:dyDescent="0.25">
      <c r="A389" s="85" t="s">
        <v>67</v>
      </c>
      <c r="B389" s="32" t="s">
        <v>70</v>
      </c>
      <c r="C389" s="33" t="s">
        <v>53</v>
      </c>
      <c r="D389" s="34" t="s">
        <v>23</v>
      </c>
      <c r="E389" s="28">
        <f>+[1]I.MODERN!C484-[1]I.MODERN!C417-[1]I.MODERN!C422-[1]I.MODERN!C439-[1]I.MODERN!C467-[1]I.MODERN!C475</f>
        <v>47971.679999999964</v>
      </c>
      <c r="F389" s="29"/>
      <c r="G389" s="29"/>
      <c r="H389" s="30">
        <f>+[1]I.MODERN!F484-[1]I.MODERN!F417-[1]I.MODERN!F422-[1]I.MODERN!F439-[1]I.MODERN!F467-[1]I.MODERN!F475</f>
        <v>53135.489999999641</v>
      </c>
      <c r="I389" s="30"/>
      <c r="J389" s="30"/>
      <c r="K389" s="30">
        <f>+[1]I.MODERN!I484-[1]I.MODERN!I417-[1]I.MODERN!I422-[1]I.MODERN!I439-[1]I.MODERN!I467-[1]I.MODERN!I475</f>
        <v>48632.069999999978</v>
      </c>
      <c r="L389" s="30"/>
      <c r="M389" s="30"/>
      <c r="N389" s="30">
        <f>+[1]I.MODERN!L484-[1]I.MODERN!L417-[1]I.MODERN!L422-[1]I.MODERN!L439-[1]I.MODERN!L467-[1]I.MODERN!L475</f>
        <v>114826.58000000031</v>
      </c>
      <c r="O389" s="30"/>
      <c r="P389" s="30"/>
      <c r="Q389" s="30">
        <f>+[1]I.MODERN!O484-[1]I.MODERN!O417-[1]I.MODERN!O422-[1]I.MODERN!O439-[1]I.MODERN!O467-[1]I.MODERN!O475</f>
        <v>23381.280000000028</v>
      </c>
      <c r="R389" s="30"/>
      <c r="S389" s="30"/>
      <c r="T389" s="30">
        <f>+[1]I.MODERN!R484-[1]I.MODERN!R417-[1]I.MODERN!R422-[1]I.MODERN!R439-[1]I.MODERN!R467-[1]I.MODERN!R475</f>
        <v>83581.36999999953</v>
      </c>
      <c r="U389" s="30"/>
      <c r="V389" s="30"/>
      <c r="W389" s="30">
        <f>+[1]I.MODERN!U484-[1]I.MODERN!U417-[1]I.MODERN!U422-[1]I.MODERN!U439-[1]I.MODERN!U467-[1]I.MODERN!U475</f>
        <v>1788.3199999999742</v>
      </c>
      <c r="X389" s="30"/>
      <c r="Y389" s="30"/>
      <c r="Z389" s="30">
        <f>+[1]I.MODERN!X484-[1]I.MODERN!X417-[1]I.MODERN!X422-[1]I.MODERN!X439-[1]I.MODERN!X467-[1]I.MODERN!X475</f>
        <v>0</v>
      </c>
      <c r="AA389" s="30"/>
      <c r="AB389" s="30"/>
      <c r="AC389" s="30">
        <f>+[1]I.MODERN!AA484-[1]I.MODERN!AA417-[1]I.MODERN!AA422-[1]I.MODERN!AA439-[1]I.MODERN!AA467-[1]I.MODERN!AA475</f>
        <v>0</v>
      </c>
      <c r="AD389" s="30"/>
      <c r="AE389" s="30"/>
      <c r="AF389" s="30">
        <f>+[1]I.MODERN!AD484-[1]I.MODERN!AD417-[1]I.MODERN!AD422-[1]I.MODERN!AD439-[1]I.MODERN!AD467-[1]I.MODERN!AD475</f>
        <v>0</v>
      </c>
      <c r="AG389" s="30"/>
      <c r="AH389" s="30"/>
      <c r="AI389" s="30">
        <f>+[1]I.MODERN!AG484-[1]I.MODERN!AG417-[1]I.MODERN!AG422-[1]I.MODERN!AG439-[1]I.MODERN!AG467-[1]I.MODERN!AG475</f>
        <v>0</v>
      </c>
      <c r="AJ389" s="31"/>
      <c r="AK389" s="31"/>
      <c r="AL389" s="79">
        <f>+[1]I.MODERN!AJ484-[1]I.MODERN!AJ417-[1]I.MODERN!AJ422-[1]I.MODERN!AJ439-[1]I.MODERN!AJ467-[1]I.MODERN!AJ475</f>
        <v>0</v>
      </c>
    </row>
    <row r="390" spans="1:38" x14ac:dyDescent="0.25">
      <c r="A390" s="85" t="s">
        <v>67</v>
      </c>
      <c r="B390" s="32" t="s">
        <v>70</v>
      </c>
      <c r="C390" s="33" t="s">
        <v>54</v>
      </c>
      <c r="D390" s="34" t="s">
        <v>23</v>
      </c>
      <c r="E390" s="59">
        <f>+E365+E366+E375+E377+E378+E379+E386+E388+E389</f>
        <v>741105.36360656656</v>
      </c>
      <c r="F390" s="60"/>
      <c r="G390" s="60"/>
      <c r="H390" s="61">
        <f>+H365+H366+H375+H377+H378+H379+H386+H388+H389</f>
        <v>2137833.3501131749</v>
      </c>
      <c r="I390" s="61"/>
      <c r="J390" s="61"/>
      <c r="K390" s="61">
        <f>+K365+K366+K375+K377+K378+K379+K386+K388+K389</f>
        <v>1151141.598204816</v>
      </c>
      <c r="L390" s="61"/>
      <c r="M390" s="61"/>
      <c r="N390" s="61">
        <f>+N365+N366+N375+N377+N378+N379+N386+N388+N389</f>
        <v>2213916.7790574962</v>
      </c>
      <c r="O390" s="61"/>
      <c r="P390" s="61"/>
      <c r="Q390" s="61">
        <f>+Q365+Q366+Q375+Q377+Q378+Q379+Q386+Q388+Q389</f>
        <v>1987205.4603265671</v>
      </c>
      <c r="R390" s="61"/>
      <c r="S390" s="61"/>
      <c r="T390" s="61">
        <f>+T365+T366+T375+T377+T378+T379+T386+T388+T389</f>
        <v>3154564.4068274242</v>
      </c>
      <c r="U390" s="61"/>
      <c r="V390" s="61"/>
      <c r="W390" s="61">
        <f>+W365+W366+W375+W377+W378+W379+W386+W388+W389</f>
        <v>476460.35965245147</v>
      </c>
      <c r="X390" s="61"/>
      <c r="Y390" s="61"/>
      <c r="Z390" s="61">
        <f>+Z365+Z366+Z375+Z377+Z378+Z379+Z386+Z388+Z389</f>
        <v>0</v>
      </c>
      <c r="AA390" s="61"/>
      <c r="AB390" s="61"/>
      <c r="AC390" s="61">
        <f>+AC365+AC366+AC375+AC377+AC378+AC379+AC386+AC388+AC389</f>
        <v>0</v>
      </c>
      <c r="AD390" s="61"/>
      <c r="AE390" s="61"/>
      <c r="AF390" s="61">
        <f>+AF365+AF366+AF375+AF377+AF378+AF379+AF386+AF388+AF389</f>
        <v>0</v>
      </c>
      <c r="AG390" s="61"/>
      <c r="AH390" s="61"/>
      <c r="AI390" s="61">
        <f>+AI365+AI366+AI375+AI377+AI378+AI379+AI386+AI388+AI389</f>
        <v>0</v>
      </c>
      <c r="AJ390" s="62"/>
      <c r="AK390" s="62"/>
      <c r="AL390" s="114">
        <f>+AL365+AL366+AL375+AL377+AL378+AL379+AL386+AL388+AL389</f>
        <v>0</v>
      </c>
    </row>
    <row r="391" spans="1:38" ht="15.75" thickBot="1" x14ac:dyDescent="0.3">
      <c r="A391" s="115" t="s">
        <v>67</v>
      </c>
      <c r="B391" s="116" t="s">
        <v>70</v>
      </c>
      <c r="C391" s="117" t="s">
        <v>55</v>
      </c>
      <c r="D391" s="118" t="s">
        <v>23</v>
      </c>
      <c r="E391" s="119">
        <f>+E390-[1]I.MODERN!C484</f>
        <v>0</v>
      </c>
      <c r="F391" s="120"/>
      <c r="G391" s="120"/>
      <c r="H391" s="121">
        <f>+H390-[1]I.MODERN!F484</f>
        <v>0</v>
      </c>
      <c r="I391" s="121"/>
      <c r="J391" s="121"/>
      <c r="K391" s="121">
        <f>+K390-[1]I.MODERN!I484</f>
        <v>0</v>
      </c>
      <c r="L391" s="121"/>
      <c r="M391" s="121"/>
      <c r="N391" s="121">
        <f>+N390-[1]I.MODERN!L484</f>
        <v>0</v>
      </c>
      <c r="O391" s="121"/>
      <c r="P391" s="121"/>
      <c r="Q391" s="121">
        <f>+Q390-[1]I.MODERN!O484</f>
        <v>0</v>
      </c>
      <c r="R391" s="121"/>
      <c r="S391" s="121"/>
      <c r="T391" s="121">
        <f>+T390-[1]I.MODERN!R484</f>
        <v>0</v>
      </c>
      <c r="U391" s="121"/>
      <c r="V391" s="121"/>
      <c r="W391" s="121">
        <f>+W390-[1]I.MODERN!U484</f>
        <v>0</v>
      </c>
      <c r="X391" s="121"/>
      <c r="Y391" s="121"/>
      <c r="Z391" s="121">
        <f>+Z390-[1]I.MODERN!X484</f>
        <v>0</v>
      </c>
      <c r="AA391" s="121"/>
      <c r="AB391" s="121"/>
      <c r="AC391" s="121">
        <f>+AC390-[1]I.MODERN!AA484</f>
        <v>0</v>
      </c>
      <c r="AD391" s="121"/>
      <c r="AE391" s="121"/>
      <c r="AF391" s="121">
        <f>+AF390-[1]I.MODERN!AD484</f>
        <v>0</v>
      </c>
      <c r="AG391" s="121"/>
      <c r="AH391" s="121"/>
      <c r="AI391" s="121">
        <f>+AI390-[1]I.MODERN!AG484</f>
        <v>0</v>
      </c>
      <c r="AJ391" s="122"/>
      <c r="AK391" s="122"/>
      <c r="AL391" s="123">
        <f>+AL390-[1]I.MODERN!AJ484</f>
        <v>0</v>
      </c>
    </row>
    <row r="392" spans="1:38" x14ac:dyDescent="0.25">
      <c r="A392" s="64" t="s">
        <v>71</v>
      </c>
      <c r="B392" s="65" t="s">
        <v>72</v>
      </c>
      <c r="C392" s="66" t="s">
        <v>19</v>
      </c>
      <c r="D392" s="67" t="s">
        <v>20</v>
      </c>
      <c r="E392" s="68">
        <f>+'[1]DEKK AKMERKEZ'!C117</f>
        <v>0</v>
      </c>
      <c r="F392" s="69"/>
      <c r="G392" s="69"/>
      <c r="H392" s="70">
        <f>+'[1]DEKK AKMERKEZ'!F117</f>
        <v>0</v>
      </c>
      <c r="I392" s="70"/>
      <c r="J392" s="70"/>
      <c r="K392" s="70">
        <f>+'[1]DEKK AKMERKEZ'!I117</f>
        <v>0</v>
      </c>
      <c r="L392" s="70"/>
      <c r="M392" s="70"/>
      <c r="N392" s="70">
        <f>+'[1]DEKK AKMERKEZ'!L117</f>
        <v>0</v>
      </c>
      <c r="O392" s="70"/>
      <c r="P392" s="70"/>
      <c r="Q392" s="70">
        <f>+'[1]DEKK AKMERKEZ'!O117</f>
        <v>0</v>
      </c>
      <c r="R392" s="70"/>
      <c r="S392" s="70"/>
      <c r="T392" s="70">
        <f>+'[1]DEKK AKMERKEZ'!R117</f>
        <v>0</v>
      </c>
      <c r="U392" s="70"/>
      <c r="V392" s="70"/>
      <c r="W392" s="70">
        <f>+'[1]DEKK AKMERKEZ'!U117</f>
        <v>0</v>
      </c>
      <c r="X392" s="70"/>
      <c r="Y392" s="70"/>
      <c r="Z392" s="70">
        <f>+'[1]DEKK AKMERKEZ'!X117</f>
        <v>0</v>
      </c>
      <c r="AA392" s="70"/>
      <c r="AB392" s="70"/>
      <c r="AC392" s="70">
        <f>+'[1]DEKK AKMERKEZ'!AA117</f>
        <v>0</v>
      </c>
      <c r="AD392" s="70"/>
      <c r="AE392" s="70"/>
      <c r="AF392" s="70">
        <f>+'[1]DEKK AKMERKEZ'!AD117</f>
        <v>0</v>
      </c>
      <c r="AG392" s="70"/>
      <c r="AH392" s="70"/>
      <c r="AI392" s="70">
        <f>+'[1]DEKK AKMERKEZ'!AG117</f>
        <v>0</v>
      </c>
      <c r="AJ392" s="71"/>
      <c r="AK392" s="71"/>
      <c r="AL392" s="72">
        <f>+'[1]DEKK AKMERKEZ'!AJ117</f>
        <v>0</v>
      </c>
    </row>
    <row r="393" spans="1:38" x14ac:dyDescent="0.25">
      <c r="A393" s="73" t="s">
        <v>71</v>
      </c>
      <c r="B393" s="6" t="s">
        <v>72</v>
      </c>
      <c r="C393" s="7" t="s">
        <v>21</v>
      </c>
      <c r="D393" s="8" t="s">
        <v>20</v>
      </c>
      <c r="E393" s="9"/>
      <c r="F393" s="10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2"/>
      <c r="AK393" s="12"/>
      <c r="AL393" s="74"/>
    </row>
    <row r="394" spans="1:38" x14ac:dyDescent="0.25">
      <c r="A394" s="73" t="s">
        <v>71</v>
      </c>
      <c r="B394" s="6" t="s">
        <v>72</v>
      </c>
      <c r="C394" s="7" t="s">
        <v>22</v>
      </c>
      <c r="D394" s="8" t="s">
        <v>23</v>
      </c>
      <c r="E394" s="13">
        <f>+'[1]DEKK AKMERKEZ'!C112</f>
        <v>0</v>
      </c>
      <c r="F394" s="14"/>
      <c r="G394" s="14"/>
      <c r="H394" s="15">
        <f>+'[1]DEKK AKMERKEZ'!F112</f>
        <v>0</v>
      </c>
      <c r="I394" s="14"/>
      <c r="J394" s="14"/>
      <c r="K394" s="13">
        <f>+'[1]DEKK AKMERKEZ'!I112</f>
        <v>0</v>
      </c>
      <c r="L394" s="14"/>
      <c r="M394" s="14"/>
      <c r="N394" s="15">
        <f>+'[1]DEKK AKMERKEZ'!L112</f>
        <v>9545.4500000000007</v>
      </c>
      <c r="O394" s="15"/>
      <c r="P394" s="15"/>
      <c r="Q394" s="15">
        <f>+'[1]DEKK AKMERKEZ'!O112</f>
        <v>11818.18</v>
      </c>
      <c r="R394" s="15"/>
      <c r="S394" s="15"/>
      <c r="T394" s="15">
        <f>+'[1]DEKK AKMERKEZ'!R112</f>
        <v>0</v>
      </c>
      <c r="U394" s="15"/>
      <c r="V394" s="15"/>
      <c r="W394" s="15">
        <f>+'[1]DEKK AKMERKEZ'!U112</f>
        <v>0</v>
      </c>
      <c r="X394" s="15"/>
      <c r="Y394" s="15"/>
      <c r="Z394" s="15">
        <f>+'[1]DEKK AKMERKEZ'!X112</f>
        <v>0</v>
      </c>
      <c r="AA394" s="15"/>
      <c r="AB394" s="15"/>
      <c r="AC394" s="15">
        <f>+'[1]DEKK AKMERKEZ'!AA112</f>
        <v>0</v>
      </c>
      <c r="AD394" s="15"/>
      <c r="AE394" s="15"/>
      <c r="AF394" s="15">
        <f>+'[1]DEKK AKMERKEZ'!AD112</f>
        <v>0</v>
      </c>
      <c r="AG394" s="15"/>
      <c r="AH394" s="15"/>
      <c r="AI394" s="15">
        <f>+'[1]DEKK AKMERKEZ'!AG112</f>
        <v>0</v>
      </c>
      <c r="AJ394" s="16"/>
      <c r="AK394" s="16"/>
      <c r="AL394" s="75">
        <f>+'[1]DEKK AKMERKEZ'!AJ112</f>
        <v>0</v>
      </c>
    </row>
    <row r="395" spans="1:38" x14ac:dyDescent="0.25">
      <c r="A395" s="73" t="s">
        <v>71</v>
      </c>
      <c r="B395" s="6" t="s">
        <v>72</v>
      </c>
      <c r="C395" s="7" t="s">
        <v>24</v>
      </c>
      <c r="D395" s="8" t="s">
        <v>23</v>
      </c>
      <c r="E395" s="13">
        <f>+'[1]DEKK AKMERKEZ'!C113</f>
        <v>0</v>
      </c>
      <c r="F395" s="17"/>
      <c r="G395" s="17"/>
      <c r="H395" s="18">
        <f>+'[1]DEKK AKMERKEZ'!F113</f>
        <v>0</v>
      </c>
      <c r="I395" s="18"/>
      <c r="J395" s="18"/>
      <c r="K395" s="18">
        <f>+'[1]DEKK AKMERKEZ'!I113</f>
        <v>0</v>
      </c>
      <c r="L395" s="18"/>
      <c r="M395" s="18"/>
      <c r="N395" s="18">
        <f>+'[1]DEKK AKMERKEZ'!L113</f>
        <v>0</v>
      </c>
      <c r="O395" s="18"/>
      <c r="P395" s="18"/>
      <c r="Q395" s="18">
        <f>+'[1]DEKK AKMERKEZ'!O113</f>
        <v>0</v>
      </c>
      <c r="R395" s="18"/>
      <c r="S395" s="18"/>
      <c r="T395" s="18">
        <f>+'[1]DEKK AKMERKEZ'!R113</f>
        <v>0</v>
      </c>
      <c r="U395" s="18"/>
      <c r="V395" s="18"/>
      <c r="W395" s="18">
        <f>+'[1]DEKK AKMERKEZ'!U113</f>
        <v>0</v>
      </c>
      <c r="X395" s="18"/>
      <c r="Y395" s="18"/>
      <c r="Z395" s="18">
        <f>+'[1]DEKK AKMERKEZ'!X113</f>
        <v>0</v>
      </c>
      <c r="AA395" s="18"/>
      <c r="AB395" s="18"/>
      <c r="AC395" s="18">
        <f>+'[1]DEKK AKMERKEZ'!AA113</f>
        <v>0</v>
      </c>
      <c r="AD395" s="18"/>
      <c r="AE395" s="18"/>
      <c r="AF395" s="18">
        <f>+'[1]DEKK AKMERKEZ'!AD113</f>
        <v>0</v>
      </c>
      <c r="AG395" s="18"/>
      <c r="AH395" s="18"/>
      <c r="AI395" s="18">
        <f>+'[1]DEKK AKMERKEZ'!AG113</f>
        <v>0</v>
      </c>
      <c r="AJ395" s="19"/>
      <c r="AK395" s="19"/>
      <c r="AL395" s="76">
        <f>+'[1]DEKK AKMERKEZ'!AJ113</f>
        <v>0</v>
      </c>
    </row>
    <row r="396" spans="1:38" x14ac:dyDescent="0.25">
      <c r="A396" s="73" t="s">
        <v>71</v>
      </c>
      <c r="B396" s="6" t="s">
        <v>72</v>
      </c>
      <c r="C396" s="7" t="s">
        <v>25</v>
      </c>
      <c r="D396" s="8" t="s">
        <v>23</v>
      </c>
      <c r="E396" s="20">
        <f>+'[1]DEKK AKMERKEZ'!C115-'[1]DEKK AKMERKEZ'!C112-'[1]DEKK AKMERKEZ'!C113</f>
        <v>215203.47</v>
      </c>
      <c r="F396" s="21"/>
      <c r="G396" s="21"/>
      <c r="H396" s="22">
        <f>+'[1]DEKK AKMERKEZ'!F115-'[1]DEKK AKMERKEZ'!F112-'[1]DEKK AKMERKEZ'!F113</f>
        <v>148511.79</v>
      </c>
      <c r="I396" s="22"/>
      <c r="J396" s="22"/>
      <c r="K396" s="22">
        <f>+'[1]DEKK AKMERKEZ'!I115-'[1]DEKK AKMERKEZ'!I112-'[1]DEKK AKMERKEZ'!I113</f>
        <v>244992.46</v>
      </c>
      <c r="L396" s="22"/>
      <c r="M396" s="22"/>
      <c r="N396" s="22">
        <f>+'[1]DEKK AKMERKEZ'!L115-'[1]DEKK AKMERKEZ'!L112-'[1]DEKK AKMERKEZ'!L113</f>
        <v>1813692.6</v>
      </c>
      <c r="O396" s="22"/>
      <c r="P396" s="22"/>
      <c r="Q396" s="22">
        <f>+'[1]DEKK AKMERKEZ'!O115-'[1]DEKK AKMERKEZ'!O112-'[1]DEKK AKMERKEZ'!O113</f>
        <v>73292.830000000016</v>
      </c>
      <c r="R396" s="22"/>
      <c r="S396" s="22"/>
      <c r="T396" s="22">
        <f>+'[1]DEKK AKMERKEZ'!R115-'[1]DEKK AKMERKEZ'!R112-'[1]DEKK AKMERKEZ'!R113</f>
        <v>1294432.94</v>
      </c>
      <c r="U396" s="22"/>
      <c r="V396" s="22"/>
      <c r="W396" s="22">
        <f>+'[1]DEKK AKMERKEZ'!U115-'[1]DEKK AKMERKEZ'!U112-'[1]DEKK AKMERKEZ'!U113</f>
        <v>1975280.82</v>
      </c>
      <c r="X396" s="22"/>
      <c r="Y396" s="22"/>
      <c r="Z396" s="22">
        <f>+'[1]DEKK AKMERKEZ'!X115-'[1]DEKK AKMERKEZ'!X112-'[1]DEKK AKMERKEZ'!X113</f>
        <v>0</v>
      </c>
      <c r="AA396" s="22"/>
      <c r="AB396" s="22"/>
      <c r="AC396" s="22">
        <f>+'[1]DEKK AKMERKEZ'!AA115-'[1]DEKK AKMERKEZ'!AA112-'[1]DEKK AKMERKEZ'!AA113</f>
        <v>0</v>
      </c>
      <c r="AD396" s="22"/>
      <c r="AE396" s="22"/>
      <c r="AF396" s="22">
        <f>+'[1]DEKK AKMERKEZ'!AD115-'[1]DEKK AKMERKEZ'!AD112-'[1]DEKK AKMERKEZ'!AD113</f>
        <v>0</v>
      </c>
      <c r="AG396" s="22"/>
      <c r="AH396" s="22"/>
      <c r="AI396" s="22">
        <f>+'[1]DEKK AKMERKEZ'!AG115-'[1]DEKK AKMERKEZ'!AG112-'[1]DEKK AKMERKEZ'!AG113</f>
        <v>0</v>
      </c>
      <c r="AJ396" s="23"/>
      <c r="AK396" s="23"/>
      <c r="AL396" s="77">
        <f>+'[1]DEKK AKMERKEZ'!AJ115-'[1]DEKK AKMERKEZ'!AJ112-'[1]DEKK AKMERKEZ'!AJ113</f>
        <v>0</v>
      </c>
    </row>
    <row r="397" spans="1:38" x14ac:dyDescent="0.25">
      <c r="A397" s="73" t="s">
        <v>71</v>
      </c>
      <c r="B397" s="6" t="s">
        <v>72</v>
      </c>
      <c r="C397" s="7" t="s">
        <v>26</v>
      </c>
      <c r="D397" s="8" t="s">
        <v>23</v>
      </c>
      <c r="E397" s="24">
        <f>+'[1]DEKK AKMERKEZ'!C137</f>
        <v>0</v>
      </c>
      <c r="F397" s="25"/>
      <c r="G397" s="25"/>
      <c r="H397" s="26">
        <f>+'[1]DEKK AKMERKEZ'!F137</f>
        <v>0</v>
      </c>
      <c r="I397" s="26"/>
      <c r="J397" s="26"/>
      <c r="K397" s="26">
        <f>+'[1]DEKK AKMERKEZ'!I137</f>
        <v>0</v>
      </c>
      <c r="L397" s="26"/>
      <c r="M397" s="26"/>
      <c r="N397" s="26">
        <f>+'[1]DEKK AKMERKEZ'!L137</f>
        <v>0</v>
      </c>
      <c r="O397" s="26"/>
      <c r="P397" s="26"/>
      <c r="Q397" s="26">
        <f>+'[1]DEKK AKMERKEZ'!O137</f>
        <v>0</v>
      </c>
      <c r="R397" s="26"/>
      <c r="S397" s="26"/>
      <c r="T397" s="26">
        <f>+'[1]DEKK AKMERKEZ'!R137</f>
        <v>0</v>
      </c>
      <c r="U397" s="26"/>
      <c r="V397" s="26"/>
      <c r="W397" s="26">
        <f>+'[1]DEKK AKMERKEZ'!U137</f>
        <v>0</v>
      </c>
      <c r="X397" s="26"/>
      <c r="Y397" s="26"/>
      <c r="Z397" s="26">
        <f>+'[1]DEKK AKMERKEZ'!X137</f>
        <v>0</v>
      </c>
      <c r="AA397" s="26"/>
      <c r="AB397" s="26"/>
      <c r="AC397" s="26">
        <f>+'[1]DEKK AKMERKEZ'!AA137</f>
        <v>0</v>
      </c>
      <c r="AD397" s="26"/>
      <c r="AE397" s="26"/>
      <c r="AF397" s="26">
        <f>+'[1]DEKK AKMERKEZ'!AD137</f>
        <v>0</v>
      </c>
      <c r="AG397" s="26"/>
      <c r="AH397" s="26"/>
      <c r="AI397" s="26">
        <f>+'[1]DEKK AKMERKEZ'!AG137</f>
        <v>0</v>
      </c>
      <c r="AJ397" s="27"/>
      <c r="AK397" s="27"/>
      <c r="AL397" s="78">
        <f>+'[1]DEKK AKMERKEZ'!AJ137</f>
        <v>0</v>
      </c>
    </row>
    <row r="398" spans="1:38" x14ac:dyDescent="0.25">
      <c r="A398" s="73" t="s">
        <v>71</v>
      </c>
      <c r="B398" s="6" t="s">
        <v>72</v>
      </c>
      <c r="C398" s="7" t="s">
        <v>27</v>
      </c>
      <c r="D398" s="8" t="s">
        <v>23</v>
      </c>
      <c r="E398" s="28">
        <f>+'[1]DEKK AKMERKEZ'!C138</f>
        <v>0</v>
      </c>
      <c r="F398" s="29"/>
      <c r="G398" s="29"/>
      <c r="H398" s="30">
        <f>+'[1]DEKK AKMERKEZ'!F138</f>
        <v>0</v>
      </c>
      <c r="I398" s="30"/>
      <c r="J398" s="30"/>
      <c r="K398" s="30">
        <f>+'[1]DEKK AKMERKEZ'!I138</f>
        <v>0</v>
      </c>
      <c r="L398" s="30"/>
      <c r="M398" s="30"/>
      <c r="N398" s="30">
        <f>+'[1]DEKK AKMERKEZ'!L138</f>
        <v>0</v>
      </c>
      <c r="O398" s="30"/>
      <c r="P398" s="30"/>
      <c r="Q398" s="30">
        <f>+'[1]DEKK AKMERKEZ'!O138</f>
        <v>0</v>
      </c>
      <c r="R398" s="30"/>
      <c r="S398" s="30"/>
      <c r="T398" s="30">
        <f>+'[1]DEKK AKMERKEZ'!R138</f>
        <v>0</v>
      </c>
      <c r="U398" s="30"/>
      <c r="V398" s="30"/>
      <c r="W398" s="30">
        <f>+'[1]DEKK AKMERKEZ'!U138</f>
        <v>0</v>
      </c>
      <c r="X398" s="30"/>
      <c r="Y398" s="30"/>
      <c r="Z398" s="30">
        <f>+'[1]DEKK AKMERKEZ'!X138</f>
        <v>0</v>
      </c>
      <c r="AA398" s="30"/>
      <c r="AB398" s="30"/>
      <c r="AC398" s="30">
        <f>+'[1]DEKK AKMERKEZ'!AA138</f>
        <v>0</v>
      </c>
      <c r="AD398" s="30"/>
      <c r="AE398" s="30"/>
      <c r="AF398" s="30">
        <f>+'[1]DEKK AKMERKEZ'!AD138</f>
        <v>0</v>
      </c>
      <c r="AG398" s="30"/>
      <c r="AH398" s="30"/>
      <c r="AI398" s="30">
        <f>+'[1]DEKK AKMERKEZ'!AG138</f>
        <v>0</v>
      </c>
      <c r="AJ398" s="31"/>
      <c r="AK398" s="31"/>
      <c r="AL398" s="79">
        <f>+'[1]DEKK AKMERKEZ'!AJ138</f>
        <v>0</v>
      </c>
    </row>
    <row r="399" spans="1:38" x14ac:dyDescent="0.25">
      <c r="A399" s="73" t="s">
        <v>71</v>
      </c>
      <c r="B399" s="6" t="s">
        <v>72</v>
      </c>
      <c r="C399" s="7" t="s">
        <v>28</v>
      </c>
      <c r="D399" s="8" t="s">
        <v>29</v>
      </c>
      <c r="E399" s="124">
        <f>+'[1]DEKK AKMERKEZ'!C121</f>
        <v>4</v>
      </c>
      <c r="F399" s="125"/>
      <c r="G399" s="125"/>
      <c r="H399" s="126">
        <f>+'[1]DEKK AKMERKEZ'!F121</f>
        <v>4</v>
      </c>
      <c r="I399" s="126"/>
      <c r="J399" s="126"/>
      <c r="K399" s="126">
        <f>+'[1]DEKK AKMERKEZ'!I121</f>
        <v>3.67</v>
      </c>
      <c r="L399" s="126"/>
      <c r="M399" s="126"/>
      <c r="N399" s="126">
        <f>+'[1]DEKK AKMERKEZ'!L121</f>
        <v>3.67</v>
      </c>
      <c r="O399" s="126"/>
      <c r="P399" s="126"/>
      <c r="Q399" s="126">
        <f>+'[1]DEKK AKMERKEZ'!O121</f>
        <v>3.9</v>
      </c>
      <c r="R399" s="126"/>
      <c r="S399" s="126"/>
      <c r="T399" s="126">
        <f>+'[1]DEKK AKMERKEZ'!R121</f>
        <v>3.93</v>
      </c>
      <c r="U399" s="126"/>
      <c r="V399" s="126"/>
      <c r="W399" s="126">
        <f>+'[1]DEKK AKMERKEZ'!U121</f>
        <v>3.37</v>
      </c>
      <c r="X399" s="126"/>
      <c r="Y399" s="126"/>
      <c r="Z399" s="126">
        <f>+'[1]DEKK AKMERKEZ'!X121</f>
        <v>0</v>
      </c>
      <c r="AA399" s="126"/>
      <c r="AB399" s="126"/>
      <c r="AC399" s="126">
        <f>+'[1]DEKK AKMERKEZ'!AA121</f>
        <v>0</v>
      </c>
      <c r="AD399" s="126"/>
      <c r="AE399" s="126"/>
      <c r="AF399" s="126">
        <f>+'[1]DEKK AKMERKEZ'!AD121</f>
        <v>0</v>
      </c>
      <c r="AG399" s="126"/>
      <c r="AH399" s="126"/>
      <c r="AI399" s="126">
        <f>+'[1]DEKK AKMERKEZ'!AG121</f>
        <v>0</v>
      </c>
      <c r="AJ399" s="127"/>
      <c r="AK399" s="127"/>
      <c r="AL399" s="128">
        <f>+'[1]DEKK AKMERKEZ'!AJ121</f>
        <v>0</v>
      </c>
    </row>
    <row r="400" spans="1:38" x14ac:dyDescent="0.25">
      <c r="A400" s="85" t="s">
        <v>71</v>
      </c>
      <c r="B400" s="32" t="s">
        <v>72</v>
      </c>
      <c r="C400" s="33" t="s">
        <v>30</v>
      </c>
      <c r="D400" s="34" t="s">
        <v>29</v>
      </c>
      <c r="E400" s="129">
        <f>+'[1]DEKK AKMERKEZ'!C122</f>
        <v>0</v>
      </c>
      <c r="F400" s="130"/>
      <c r="G400" s="130"/>
      <c r="H400" s="131">
        <f>+'[1]DEKK AKMERKEZ'!F122</f>
        <v>0</v>
      </c>
      <c r="I400" s="131"/>
      <c r="J400" s="131"/>
      <c r="K400" s="131">
        <f>+'[1]DEKK AKMERKEZ'!I122</f>
        <v>0</v>
      </c>
      <c r="L400" s="131"/>
      <c r="M400" s="131"/>
      <c r="N400" s="131">
        <f>+'[1]DEKK AKMERKEZ'!L122</f>
        <v>0</v>
      </c>
      <c r="O400" s="131"/>
      <c r="P400" s="131"/>
      <c r="Q400" s="131">
        <f>+'[1]DEKK AKMERKEZ'!O122</f>
        <v>0</v>
      </c>
      <c r="R400" s="131"/>
      <c r="S400" s="131"/>
      <c r="T400" s="131">
        <f>+'[1]DEKK AKMERKEZ'!R122</f>
        <v>1.6</v>
      </c>
      <c r="U400" s="131"/>
      <c r="V400" s="131"/>
      <c r="W400" s="131">
        <f>+'[1]DEKK AKMERKEZ'!U122</f>
        <v>0</v>
      </c>
      <c r="X400" s="131"/>
      <c r="Y400" s="131"/>
      <c r="Z400" s="131">
        <f>+'[1]DEKK AKMERKEZ'!X122</f>
        <v>0</v>
      </c>
      <c r="AA400" s="131"/>
      <c r="AB400" s="131"/>
      <c r="AC400" s="131">
        <f>+'[1]DEKK AKMERKEZ'!AA122</f>
        <v>0</v>
      </c>
      <c r="AD400" s="131"/>
      <c r="AE400" s="131"/>
      <c r="AF400" s="131">
        <f>+'[1]DEKK AKMERKEZ'!AD122</f>
        <v>0</v>
      </c>
      <c r="AG400" s="131"/>
      <c r="AH400" s="131"/>
      <c r="AI400" s="131">
        <f>+'[1]DEKK AKMERKEZ'!AG122</f>
        <v>0</v>
      </c>
      <c r="AJ400" s="132"/>
      <c r="AK400" s="132"/>
      <c r="AL400" s="133">
        <f>+'[1]DEKK AKMERKEZ'!AJ122</f>
        <v>0</v>
      </c>
    </row>
    <row r="401" spans="1:38" x14ac:dyDescent="0.25">
      <c r="A401" s="85" t="s">
        <v>71</v>
      </c>
      <c r="B401" s="32" t="s">
        <v>72</v>
      </c>
      <c r="C401" s="33" t="s">
        <v>31</v>
      </c>
      <c r="D401" s="34" t="s">
        <v>29</v>
      </c>
      <c r="E401" s="129">
        <f>+'[1]DEKK AKMERKEZ'!C123</f>
        <v>0</v>
      </c>
      <c r="F401" s="130"/>
      <c r="G401" s="130"/>
      <c r="H401" s="131">
        <f>+'[1]DEKK AKMERKEZ'!F123</f>
        <v>0</v>
      </c>
      <c r="I401" s="131"/>
      <c r="J401" s="131"/>
      <c r="K401" s="131">
        <f>+'[1]DEKK AKMERKEZ'!I123</f>
        <v>0</v>
      </c>
      <c r="L401" s="131"/>
      <c r="M401" s="131"/>
      <c r="N401" s="131">
        <f>+'[1]DEKK AKMERKEZ'!L123</f>
        <v>0</v>
      </c>
      <c r="O401" s="131"/>
      <c r="P401" s="131"/>
      <c r="Q401" s="131">
        <f>+'[1]DEKK AKMERKEZ'!O123</f>
        <v>0</v>
      </c>
      <c r="R401" s="131"/>
      <c r="S401" s="131"/>
      <c r="T401" s="131">
        <f>+'[1]DEKK AKMERKEZ'!R123</f>
        <v>0</v>
      </c>
      <c r="U401" s="131"/>
      <c r="V401" s="131"/>
      <c r="W401" s="131">
        <f>+'[1]DEKK AKMERKEZ'!U123</f>
        <v>2.2999999999999998</v>
      </c>
      <c r="X401" s="131"/>
      <c r="Y401" s="131"/>
      <c r="Z401" s="131">
        <f>+'[1]DEKK AKMERKEZ'!X123</f>
        <v>0</v>
      </c>
      <c r="AA401" s="131"/>
      <c r="AB401" s="131"/>
      <c r="AC401" s="131">
        <f>+'[1]DEKK AKMERKEZ'!AA123</f>
        <v>0</v>
      </c>
      <c r="AD401" s="131"/>
      <c r="AE401" s="131"/>
      <c r="AF401" s="131">
        <f>+'[1]DEKK AKMERKEZ'!AD123</f>
        <v>0</v>
      </c>
      <c r="AG401" s="131"/>
      <c r="AH401" s="131"/>
      <c r="AI401" s="131">
        <f>+'[1]DEKK AKMERKEZ'!AG123</f>
        <v>0</v>
      </c>
      <c r="AJ401" s="132"/>
      <c r="AK401" s="132"/>
      <c r="AL401" s="133">
        <f>+'[1]DEKK AKMERKEZ'!AJ123</f>
        <v>0</v>
      </c>
    </row>
    <row r="402" spans="1:38" x14ac:dyDescent="0.25">
      <c r="A402" s="85" t="s">
        <v>71</v>
      </c>
      <c r="B402" s="32" t="s">
        <v>72</v>
      </c>
      <c r="C402" s="33" t="s">
        <v>32</v>
      </c>
      <c r="D402" s="34" t="s">
        <v>29</v>
      </c>
      <c r="E402" s="129">
        <f>+'[1]DEKK AKMERKEZ'!C124</f>
        <v>0</v>
      </c>
      <c r="F402" s="130"/>
      <c r="G402" s="130"/>
      <c r="H402" s="131">
        <f>+'[1]DEKK AKMERKEZ'!F124</f>
        <v>0</v>
      </c>
      <c r="I402" s="131"/>
      <c r="J402" s="131"/>
      <c r="K402" s="131">
        <f>+'[1]DEKK AKMERKEZ'!I124</f>
        <v>0</v>
      </c>
      <c r="L402" s="131"/>
      <c r="M402" s="131"/>
      <c r="N402" s="131">
        <f>+'[1]DEKK AKMERKEZ'!L124</f>
        <v>0</v>
      </c>
      <c r="O402" s="131"/>
      <c r="P402" s="131"/>
      <c r="Q402" s="131">
        <f>+'[1]DEKK AKMERKEZ'!O124</f>
        <v>0</v>
      </c>
      <c r="R402" s="131"/>
      <c r="S402" s="131"/>
      <c r="T402" s="131">
        <f>+'[1]DEKK AKMERKEZ'!R124</f>
        <v>0</v>
      </c>
      <c r="U402" s="131"/>
      <c r="V402" s="131"/>
      <c r="W402" s="131">
        <f>+'[1]DEKK AKMERKEZ'!U124</f>
        <v>0</v>
      </c>
      <c r="X402" s="131"/>
      <c r="Y402" s="131"/>
      <c r="Z402" s="131">
        <f>+'[1]DEKK AKMERKEZ'!X124</f>
        <v>0</v>
      </c>
      <c r="AA402" s="131"/>
      <c r="AB402" s="131"/>
      <c r="AC402" s="131">
        <f>+'[1]DEKK AKMERKEZ'!AA124</f>
        <v>0</v>
      </c>
      <c r="AD402" s="131"/>
      <c r="AE402" s="131"/>
      <c r="AF402" s="131">
        <f>+'[1]DEKK AKMERKEZ'!AD124</f>
        <v>0</v>
      </c>
      <c r="AG402" s="131"/>
      <c r="AH402" s="131"/>
      <c r="AI402" s="131">
        <f>+'[1]DEKK AKMERKEZ'!AG124</f>
        <v>0</v>
      </c>
      <c r="AJ402" s="132"/>
      <c r="AK402" s="132"/>
      <c r="AL402" s="133">
        <f>+'[1]DEKK AKMERKEZ'!AJ124</f>
        <v>0</v>
      </c>
    </row>
    <row r="403" spans="1:38" x14ac:dyDescent="0.25">
      <c r="A403" s="85" t="s">
        <v>71</v>
      </c>
      <c r="B403" s="32" t="s">
        <v>72</v>
      </c>
      <c r="C403" s="33" t="s">
        <v>33</v>
      </c>
      <c r="D403" s="34" t="s">
        <v>29</v>
      </c>
      <c r="E403" s="129">
        <f>SUM(E399:E402)</f>
        <v>4</v>
      </c>
      <c r="F403" s="130"/>
      <c r="G403" s="130"/>
      <c r="H403" s="129">
        <f>SUM(H399:H402)</f>
        <v>4</v>
      </c>
      <c r="I403" s="131"/>
      <c r="J403" s="131"/>
      <c r="K403" s="129">
        <f>SUM(K399:K402)</f>
        <v>3.67</v>
      </c>
      <c r="L403" s="131"/>
      <c r="M403" s="131"/>
      <c r="N403" s="129">
        <f>SUM(N399:N402)</f>
        <v>3.67</v>
      </c>
      <c r="O403" s="131"/>
      <c r="P403" s="131"/>
      <c r="Q403" s="129">
        <f>SUM(Q399:Q402)</f>
        <v>3.9</v>
      </c>
      <c r="R403" s="131"/>
      <c r="S403" s="131"/>
      <c r="T403" s="129">
        <f>SUM(T399:T402)</f>
        <v>5.53</v>
      </c>
      <c r="U403" s="131"/>
      <c r="V403" s="131"/>
      <c r="W403" s="129">
        <f>SUM(W399:W402)</f>
        <v>5.67</v>
      </c>
      <c r="X403" s="131"/>
      <c r="Y403" s="131"/>
      <c r="Z403" s="129">
        <f>SUM(Z399:Z402)</f>
        <v>0</v>
      </c>
      <c r="AA403" s="131"/>
      <c r="AB403" s="131"/>
      <c r="AC403" s="129">
        <f>SUM(AC399:AC402)</f>
        <v>0</v>
      </c>
      <c r="AD403" s="131"/>
      <c r="AE403" s="131"/>
      <c r="AF403" s="129">
        <f>SUM(AF399:AF402)</f>
        <v>0</v>
      </c>
      <c r="AG403" s="131"/>
      <c r="AH403" s="131"/>
      <c r="AI403" s="129">
        <f>SUM(AI399:AI402)</f>
        <v>0</v>
      </c>
      <c r="AJ403" s="132"/>
      <c r="AK403" s="132"/>
      <c r="AL403" s="134">
        <f>SUM(AL399:AL402)</f>
        <v>0</v>
      </c>
    </row>
    <row r="404" spans="1:38" x14ac:dyDescent="0.25">
      <c r="A404" s="85" t="s">
        <v>71</v>
      </c>
      <c r="B404" s="32" t="s">
        <v>72</v>
      </c>
      <c r="C404" s="33" t="s">
        <v>34</v>
      </c>
      <c r="D404" s="34" t="s">
        <v>23</v>
      </c>
      <c r="E404" s="35">
        <f>+'[1]DEKK AKMERKEZ'!C128+'[1]DEKK AKMERKEZ'!C129+'[1]DEKK AKMERKEZ'!C130+'[1]DEKK AKMERKEZ'!C131</f>
        <v>441791.58324025408</v>
      </c>
      <c r="F404" s="36"/>
      <c r="G404" s="36"/>
      <c r="H404" s="35">
        <f>+'[1]DEKK AKMERKEZ'!F128+'[1]DEKK AKMERKEZ'!F129+'[1]DEKK AKMERKEZ'!F130+'[1]DEKK AKMERKEZ'!F131</f>
        <v>433683.18768920359</v>
      </c>
      <c r="I404" s="18"/>
      <c r="J404" s="18"/>
      <c r="K404" s="35">
        <f>+'[1]DEKK AKMERKEZ'!I128+'[1]DEKK AKMERKEZ'!I129+'[1]DEKK AKMERKEZ'!I130+'[1]DEKK AKMERKEZ'!I131</f>
        <v>460782.94999999995</v>
      </c>
      <c r="L404" s="18"/>
      <c r="M404" s="18"/>
      <c r="N404" s="35">
        <f>+'[1]DEKK AKMERKEZ'!L128+'[1]DEKK AKMERKEZ'!L129+'[1]DEKK AKMERKEZ'!L130+'[1]DEKK AKMERKEZ'!L131</f>
        <v>461487.30000000005</v>
      </c>
      <c r="O404" s="18"/>
      <c r="P404" s="18"/>
      <c r="Q404" s="35">
        <f>+'[1]DEKK AKMERKEZ'!O128+'[1]DEKK AKMERKEZ'!O129+'[1]DEKK AKMERKEZ'!O130+'[1]DEKK AKMERKEZ'!O131</f>
        <v>565017.59999999998</v>
      </c>
      <c r="R404" s="18"/>
      <c r="S404" s="18"/>
      <c r="T404" s="35">
        <f>+'[1]DEKK AKMERKEZ'!R128+'[1]DEKK AKMERKEZ'!R129+'[1]DEKK AKMERKEZ'!R130+'[1]DEKK AKMERKEZ'!R131</f>
        <v>589049.78692698281</v>
      </c>
      <c r="U404" s="18"/>
      <c r="V404" s="18"/>
      <c r="W404" s="35">
        <f>+'[1]DEKK AKMERKEZ'!U128+'[1]DEKK AKMERKEZ'!U129+'[1]DEKK AKMERKEZ'!U130+'[1]DEKK AKMERKEZ'!U131</f>
        <v>711208</v>
      </c>
      <c r="X404" s="18"/>
      <c r="Y404" s="18"/>
      <c r="Z404" s="35">
        <f>+'[1]DEKK AKMERKEZ'!X128+'[1]DEKK AKMERKEZ'!X129+'[1]DEKK AKMERKEZ'!X130+'[1]DEKK AKMERKEZ'!X131</f>
        <v>0</v>
      </c>
      <c r="AA404" s="18"/>
      <c r="AB404" s="18"/>
      <c r="AC404" s="35">
        <f>+'[1]DEKK AKMERKEZ'!AA128+'[1]DEKK AKMERKEZ'!AA129+'[1]DEKK AKMERKEZ'!AA130+'[1]DEKK AKMERKEZ'!AA131</f>
        <v>0</v>
      </c>
      <c r="AD404" s="18"/>
      <c r="AE404" s="18"/>
      <c r="AF404" s="35">
        <f>+'[1]DEKK AKMERKEZ'!AD128+'[1]DEKK AKMERKEZ'!AD129+'[1]DEKK AKMERKEZ'!AD130+'[1]DEKK AKMERKEZ'!AD131</f>
        <v>0</v>
      </c>
      <c r="AG404" s="18"/>
      <c r="AH404" s="18"/>
      <c r="AI404" s="35">
        <f>+'[1]DEKK AKMERKEZ'!AG128+'[1]DEKK AKMERKEZ'!AG129+'[1]DEKK AKMERKEZ'!AG130+'[1]DEKK AKMERKEZ'!AG131</f>
        <v>0</v>
      </c>
      <c r="AJ404" s="19"/>
      <c r="AK404" s="19"/>
      <c r="AL404" s="92">
        <f>+'[1]DEKK AKMERKEZ'!AJ128+'[1]DEKK AKMERKEZ'!AJ129+'[1]DEKK AKMERKEZ'!AJ130+'[1]DEKK AKMERKEZ'!AJ131</f>
        <v>0</v>
      </c>
    </row>
    <row r="405" spans="1:38" x14ac:dyDescent="0.25">
      <c r="A405" s="85" t="s">
        <v>71</v>
      </c>
      <c r="B405" s="32" t="s">
        <v>72</v>
      </c>
      <c r="C405" s="33" t="s">
        <v>35</v>
      </c>
      <c r="D405" s="34" t="s">
        <v>23</v>
      </c>
      <c r="E405" s="35">
        <f>+'[1]DEKK AKMERKEZ'!C132</f>
        <v>41160.25</v>
      </c>
      <c r="F405" s="36"/>
      <c r="G405" s="36"/>
      <c r="H405" s="35">
        <f>+'[1]DEKK AKMERKEZ'!F132</f>
        <v>35750</v>
      </c>
      <c r="I405" s="18"/>
      <c r="J405" s="18"/>
      <c r="K405" s="35">
        <f>+'[1]DEKK AKMERKEZ'!I132</f>
        <v>62817</v>
      </c>
      <c r="L405" s="18"/>
      <c r="M405" s="18"/>
      <c r="N405" s="35">
        <f>+'[1]DEKK AKMERKEZ'!L132</f>
        <v>49094.65</v>
      </c>
      <c r="O405" s="18"/>
      <c r="P405" s="18"/>
      <c r="Q405" s="35">
        <f>+'[1]DEKK AKMERKEZ'!O132</f>
        <v>0</v>
      </c>
      <c r="R405" s="18"/>
      <c r="S405" s="18"/>
      <c r="T405" s="35">
        <f>+'[1]DEKK AKMERKEZ'!R132</f>
        <v>86275.8</v>
      </c>
      <c r="U405" s="18"/>
      <c r="V405" s="18"/>
      <c r="W405" s="35">
        <f>+'[1]DEKK AKMERKEZ'!U132</f>
        <v>0</v>
      </c>
      <c r="X405" s="18"/>
      <c r="Y405" s="18"/>
      <c r="Z405" s="35">
        <f>+'[1]DEKK AKMERKEZ'!X132</f>
        <v>0</v>
      </c>
      <c r="AA405" s="18"/>
      <c r="AB405" s="18"/>
      <c r="AC405" s="35">
        <f>+'[1]DEKK AKMERKEZ'!AA132</f>
        <v>0</v>
      </c>
      <c r="AD405" s="18"/>
      <c r="AE405" s="18"/>
      <c r="AF405" s="35">
        <f>+'[1]DEKK AKMERKEZ'!AD132</f>
        <v>0</v>
      </c>
      <c r="AG405" s="18"/>
      <c r="AH405" s="18"/>
      <c r="AI405" s="35">
        <f>+'[1]DEKK AKMERKEZ'!AG132</f>
        <v>0</v>
      </c>
      <c r="AJ405" s="19"/>
      <c r="AK405" s="19"/>
      <c r="AL405" s="92">
        <f>+'[1]DEKK AKMERKEZ'!AJ132</f>
        <v>0</v>
      </c>
    </row>
    <row r="406" spans="1:38" x14ac:dyDescent="0.25">
      <c r="A406" s="85" t="s">
        <v>71</v>
      </c>
      <c r="B406" s="32" t="s">
        <v>72</v>
      </c>
      <c r="C406" s="33" t="s">
        <v>36</v>
      </c>
      <c r="D406" s="34" t="s">
        <v>23</v>
      </c>
      <c r="E406" s="35">
        <f>+'[1]DEKK AKMERKEZ'!C133</f>
        <v>0</v>
      </c>
      <c r="F406" s="36"/>
      <c r="G406" s="36"/>
      <c r="H406" s="35">
        <f>+'[1]DEKK AKMERKEZ'!F133</f>
        <v>0</v>
      </c>
      <c r="I406" s="18"/>
      <c r="J406" s="18"/>
      <c r="K406" s="35">
        <f>+'[1]DEKK AKMERKEZ'!I133</f>
        <v>0</v>
      </c>
      <c r="L406" s="18"/>
      <c r="M406" s="18"/>
      <c r="N406" s="35">
        <f>+'[1]DEKK AKMERKEZ'!L133</f>
        <v>0</v>
      </c>
      <c r="O406" s="18"/>
      <c r="P406" s="18"/>
      <c r="Q406" s="35">
        <f>+'[1]DEKK AKMERKEZ'!O133</f>
        <v>0</v>
      </c>
      <c r="R406" s="18"/>
      <c r="S406" s="18"/>
      <c r="T406" s="35">
        <f>+'[1]DEKK AKMERKEZ'!R133</f>
        <v>0</v>
      </c>
      <c r="U406" s="18"/>
      <c r="V406" s="18"/>
      <c r="W406" s="35">
        <f>+'[1]DEKK AKMERKEZ'!U133</f>
        <v>42000</v>
      </c>
      <c r="X406" s="18"/>
      <c r="Y406" s="18"/>
      <c r="Z406" s="35">
        <f>+'[1]DEKK AKMERKEZ'!X133</f>
        <v>0</v>
      </c>
      <c r="AA406" s="18"/>
      <c r="AB406" s="18"/>
      <c r="AC406" s="35">
        <f>+'[1]DEKK AKMERKEZ'!AA133</f>
        <v>0</v>
      </c>
      <c r="AD406" s="18"/>
      <c r="AE406" s="18"/>
      <c r="AF406" s="35">
        <f>+'[1]DEKK AKMERKEZ'!AD133</f>
        <v>0</v>
      </c>
      <c r="AG406" s="18"/>
      <c r="AH406" s="18"/>
      <c r="AI406" s="35">
        <f>+'[1]DEKK AKMERKEZ'!AG133</f>
        <v>0</v>
      </c>
      <c r="AJ406" s="19"/>
      <c r="AK406" s="19"/>
      <c r="AL406" s="92">
        <f>+'[1]DEKK AKMERKEZ'!AJ133</f>
        <v>0</v>
      </c>
    </row>
    <row r="407" spans="1:38" x14ac:dyDescent="0.25">
      <c r="A407" s="85" t="s">
        <v>71</v>
      </c>
      <c r="B407" s="32" t="s">
        <v>72</v>
      </c>
      <c r="C407" s="33" t="s">
        <v>37</v>
      </c>
      <c r="D407" s="34" t="s">
        <v>23</v>
      </c>
      <c r="E407" s="37">
        <f>SUM(E404:E406)</f>
        <v>482951.83324025408</v>
      </c>
      <c r="F407" s="38"/>
      <c r="G407" s="38"/>
      <c r="H407" s="37">
        <f>SUM(H404:H406)</f>
        <v>469433.18768920359</v>
      </c>
      <c r="I407" s="39"/>
      <c r="J407" s="39"/>
      <c r="K407" s="37">
        <f>SUM(K404:K406)</f>
        <v>523599.94999999995</v>
      </c>
      <c r="L407" s="39"/>
      <c r="M407" s="39"/>
      <c r="N407" s="37">
        <f>SUM(N404:N406)</f>
        <v>510581.95000000007</v>
      </c>
      <c r="O407" s="39"/>
      <c r="P407" s="39"/>
      <c r="Q407" s="37">
        <f>SUM(Q404:Q406)</f>
        <v>565017.59999999998</v>
      </c>
      <c r="R407" s="39"/>
      <c r="S407" s="39"/>
      <c r="T407" s="37">
        <f>SUM(T404:T406)</f>
        <v>675325.58692698285</v>
      </c>
      <c r="U407" s="39"/>
      <c r="V407" s="39"/>
      <c r="W407" s="37">
        <f>SUM(W404:W406)</f>
        <v>753208</v>
      </c>
      <c r="X407" s="39"/>
      <c r="Y407" s="39"/>
      <c r="Z407" s="37">
        <f>SUM(Z404:Z406)</f>
        <v>0</v>
      </c>
      <c r="AA407" s="39"/>
      <c r="AB407" s="39"/>
      <c r="AC407" s="37">
        <f>SUM(AC404:AC406)</f>
        <v>0</v>
      </c>
      <c r="AD407" s="39"/>
      <c r="AE407" s="39"/>
      <c r="AF407" s="37">
        <f>SUM(AF404:AF406)</f>
        <v>0</v>
      </c>
      <c r="AG407" s="39"/>
      <c r="AH407" s="39"/>
      <c r="AI407" s="37">
        <f>SUM(AI404:AI406)</f>
        <v>0</v>
      </c>
      <c r="AJ407" s="40"/>
      <c r="AK407" s="40"/>
      <c r="AL407" s="93">
        <f>SUM(AL404:AL406)</f>
        <v>0</v>
      </c>
    </row>
    <row r="408" spans="1:38" x14ac:dyDescent="0.25">
      <c r="A408" s="73" t="s">
        <v>71</v>
      </c>
      <c r="B408" s="6" t="s">
        <v>72</v>
      </c>
      <c r="C408" s="7" t="s">
        <v>38</v>
      </c>
      <c r="D408" s="8" t="s">
        <v>23</v>
      </c>
      <c r="E408" s="28">
        <f>IFERROR(E407/E403,0)</f>
        <v>120737.95831006352</v>
      </c>
      <c r="F408" s="29"/>
      <c r="G408" s="29"/>
      <c r="H408" s="28">
        <f>IFERROR(H407/H403,0)</f>
        <v>117358.2969223009</v>
      </c>
      <c r="I408" s="30"/>
      <c r="J408" s="30"/>
      <c r="K408" s="28">
        <f>IFERROR(K407/K403,0)</f>
        <v>142670.28610354222</v>
      </c>
      <c r="L408" s="30"/>
      <c r="M408" s="30"/>
      <c r="N408" s="28">
        <f>IFERROR(N407/N403,0)</f>
        <v>139123.14713896459</v>
      </c>
      <c r="O408" s="30"/>
      <c r="P408" s="30"/>
      <c r="Q408" s="28">
        <f>IFERROR(Q407/Q403,0)</f>
        <v>144876.30769230769</v>
      </c>
      <c r="R408" s="30"/>
      <c r="S408" s="30"/>
      <c r="T408" s="28">
        <f>IFERROR(T407/T403,0)</f>
        <v>122120.35929963522</v>
      </c>
      <c r="U408" s="30"/>
      <c r="V408" s="30"/>
      <c r="W408" s="28">
        <f>IFERROR(W407/W403,0)</f>
        <v>132840.91710758378</v>
      </c>
      <c r="X408" s="30"/>
      <c r="Y408" s="30"/>
      <c r="Z408" s="28">
        <f>IFERROR(Z407/Z403,0)</f>
        <v>0</v>
      </c>
      <c r="AA408" s="30"/>
      <c r="AB408" s="30"/>
      <c r="AC408" s="28">
        <f>IFERROR(AC407/AC403,0)</f>
        <v>0</v>
      </c>
      <c r="AD408" s="30"/>
      <c r="AE408" s="30"/>
      <c r="AF408" s="28">
        <f>IFERROR(AF407/AF403,0)</f>
        <v>0</v>
      </c>
      <c r="AG408" s="30"/>
      <c r="AH408" s="30"/>
      <c r="AI408" s="28">
        <f>IFERROR(AI407/AI403,0)</f>
        <v>0</v>
      </c>
      <c r="AJ408" s="31"/>
      <c r="AK408" s="31"/>
      <c r="AL408" s="94">
        <f>IFERROR(AL407/AL403,0)</f>
        <v>0</v>
      </c>
    </row>
    <row r="409" spans="1:38" x14ac:dyDescent="0.25">
      <c r="A409" s="73" t="s">
        <v>71</v>
      </c>
      <c r="B409" s="6" t="s">
        <v>72</v>
      </c>
      <c r="C409" s="7" t="s">
        <v>39</v>
      </c>
      <c r="D409" s="8" t="s">
        <v>23</v>
      </c>
      <c r="E409" s="41">
        <f>+'[1]DEKK AKMERKEZ'!C157</f>
        <v>297870.88</v>
      </c>
      <c r="F409" s="42"/>
      <c r="G409" s="42"/>
      <c r="H409" s="43">
        <f>+'[1]DEKK AKMERKEZ'!F157</f>
        <v>21632.230000000003</v>
      </c>
      <c r="I409" s="43"/>
      <c r="J409" s="43"/>
      <c r="K409" s="43">
        <f>+'[1]DEKK AKMERKEZ'!I157</f>
        <v>0</v>
      </c>
      <c r="L409" s="43"/>
      <c r="M409" s="43"/>
      <c r="N409" s="43">
        <f>+'[1]DEKK AKMERKEZ'!L157</f>
        <v>0</v>
      </c>
      <c r="O409" s="43"/>
      <c r="P409" s="43"/>
      <c r="Q409" s="43">
        <f>+'[1]DEKK AKMERKEZ'!O157</f>
        <v>0</v>
      </c>
      <c r="R409" s="43"/>
      <c r="S409" s="43"/>
      <c r="T409" s="43">
        <f>+'[1]DEKK AKMERKEZ'!R157</f>
        <v>0</v>
      </c>
      <c r="U409" s="43"/>
      <c r="V409" s="43"/>
      <c r="W409" s="43">
        <f>+'[1]DEKK AKMERKEZ'!U157</f>
        <v>0</v>
      </c>
      <c r="X409" s="43"/>
      <c r="Y409" s="43"/>
      <c r="Z409" s="43">
        <f>+'[1]DEKK AKMERKEZ'!X157</f>
        <v>0</v>
      </c>
      <c r="AA409" s="43"/>
      <c r="AB409" s="43"/>
      <c r="AC409" s="43">
        <f>+'[1]DEKK AKMERKEZ'!AA157</f>
        <v>0</v>
      </c>
      <c r="AD409" s="43"/>
      <c r="AE409" s="43"/>
      <c r="AF409" s="43">
        <f>+'[1]DEKK AKMERKEZ'!AD157</f>
        <v>0</v>
      </c>
      <c r="AG409" s="43"/>
      <c r="AH409" s="43"/>
      <c r="AI409" s="43">
        <f>+'[1]DEKK AKMERKEZ'!AG157</f>
        <v>0</v>
      </c>
      <c r="AJ409" s="44"/>
      <c r="AK409" s="44"/>
      <c r="AL409" s="95">
        <f>+'[1]DEKK AKMERKEZ'!AJ157</f>
        <v>0</v>
      </c>
    </row>
    <row r="410" spans="1:38" x14ac:dyDescent="0.25">
      <c r="A410" s="73" t="s">
        <v>71</v>
      </c>
      <c r="B410" s="6" t="s">
        <v>72</v>
      </c>
      <c r="C410" s="7" t="s">
        <v>40</v>
      </c>
      <c r="D410" s="34" t="s">
        <v>23</v>
      </c>
      <c r="E410" s="45">
        <f>+'[1]DEKK AKMERKEZ'!C158</f>
        <v>0</v>
      </c>
      <c r="F410" s="46"/>
      <c r="G410" s="46"/>
      <c r="H410" s="47">
        <f>+'[1]DEKK AKMERKEZ'!F158</f>
        <v>0</v>
      </c>
      <c r="I410" s="47"/>
      <c r="J410" s="47"/>
      <c r="K410" s="47">
        <f>+'[1]DEKK AKMERKEZ'!I158</f>
        <v>0</v>
      </c>
      <c r="L410" s="47"/>
      <c r="M410" s="47"/>
      <c r="N410" s="47">
        <f>+'[1]DEKK AKMERKEZ'!L158</f>
        <v>0</v>
      </c>
      <c r="O410" s="47"/>
      <c r="P410" s="47"/>
      <c r="Q410" s="47">
        <f>+'[1]DEKK AKMERKEZ'!O158</f>
        <v>0</v>
      </c>
      <c r="R410" s="47"/>
      <c r="S410" s="47"/>
      <c r="T410" s="47">
        <f>+'[1]DEKK AKMERKEZ'!R158</f>
        <v>0</v>
      </c>
      <c r="U410" s="47"/>
      <c r="V410" s="47"/>
      <c r="W410" s="47">
        <f>+'[1]DEKK AKMERKEZ'!U158</f>
        <v>0</v>
      </c>
      <c r="X410" s="47"/>
      <c r="Y410" s="47"/>
      <c r="Z410" s="47">
        <f>+'[1]DEKK AKMERKEZ'!X158</f>
        <v>0</v>
      </c>
      <c r="AA410" s="47"/>
      <c r="AB410" s="47"/>
      <c r="AC410" s="47">
        <f>+'[1]DEKK AKMERKEZ'!AA158</f>
        <v>0</v>
      </c>
      <c r="AD410" s="47"/>
      <c r="AE410" s="47"/>
      <c r="AF410" s="47">
        <f>+'[1]DEKK AKMERKEZ'!AD158</f>
        <v>0</v>
      </c>
      <c r="AG410" s="47"/>
      <c r="AH410" s="47"/>
      <c r="AI410" s="47">
        <f>+'[1]DEKK AKMERKEZ'!AG158</f>
        <v>0</v>
      </c>
      <c r="AJ410" s="48"/>
      <c r="AK410" s="48"/>
      <c r="AL410" s="96">
        <f>+'[1]DEKK AKMERKEZ'!AJ158</f>
        <v>0</v>
      </c>
    </row>
    <row r="411" spans="1:38" x14ac:dyDescent="0.25">
      <c r="A411" s="73" t="s">
        <v>71</v>
      </c>
      <c r="B411" s="6" t="s">
        <v>72</v>
      </c>
      <c r="C411" s="7" t="s">
        <v>41</v>
      </c>
      <c r="D411" s="34" t="s">
        <v>23</v>
      </c>
      <c r="E411" s="45">
        <f>+'[1]DEKK AKMERKEZ'!C159</f>
        <v>0</v>
      </c>
      <c r="F411" s="46"/>
      <c r="G411" s="46"/>
      <c r="H411" s="47">
        <f>+'[1]DEKK AKMERKEZ'!F159</f>
        <v>0</v>
      </c>
      <c r="I411" s="47"/>
      <c r="J411" s="47"/>
      <c r="K411" s="47">
        <f>+'[1]DEKK AKMERKEZ'!I159</f>
        <v>0</v>
      </c>
      <c r="L411" s="47"/>
      <c r="M411" s="47"/>
      <c r="N411" s="47">
        <f>+'[1]DEKK AKMERKEZ'!L159</f>
        <v>0</v>
      </c>
      <c r="O411" s="47"/>
      <c r="P411" s="47"/>
      <c r="Q411" s="47">
        <f>+'[1]DEKK AKMERKEZ'!O159</f>
        <v>0</v>
      </c>
      <c r="R411" s="47"/>
      <c r="S411" s="47"/>
      <c r="T411" s="47">
        <f>+'[1]DEKK AKMERKEZ'!R159</f>
        <v>0</v>
      </c>
      <c r="U411" s="47"/>
      <c r="V411" s="47"/>
      <c r="W411" s="47">
        <f>+'[1]DEKK AKMERKEZ'!U159</f>
        <v>0</v>
      </c>
      <c r="X411" s="47"/>
      <c r="Y411" s="47"/>
      <c r="Z411" s="47">
        <f>+'[1]DEKK AKMERKEZ'!X159</f>
        <v>0</v>
      </c>
      <c r="AA411" s="47"/>
      <c r="AB411" s="47"/>
      <c r="AC411" s="47">
        <f>+'[1]DEKK AKMERKEZ'!AA159</f>
        <v>0</v>
      </c>
      <c r="AD411" s="47"/>
      <c r="AE411" s="47"/>
      <c r="AF411" s="47">
        <f>+'[1]DEKK AKMERKEZ'!AD159</f>
        <v>0</v>
      </c>
      <c r="AG411" s="47"/>
      <c r="AH411" s="47"/>
      <c r="AI411" s="47">
        <f>+'[1]DEKK AKMERKEZ'!AG159</f>
        <v>0</v>
      </c>
      <c r="AJ411" s="48"/>
      <c r="AK411" s="48"/>
      <c r="AL411" s="96">
        <f>+'[1]DEKK AKMERKEZ'!AJ159</f>
        <v>0</v>
      </c>
    </row>
    <row r="412" spans="1:38" x14ac:dyDescent="0.25">
      <c r="A412" s="73" t="s">
        <v>71</v>
      </c>
      <c r="B412" s="6" t="s">
        <v>72</v>
      </c>
      <c r="C412" s="7" t="s">
        <v>42</v>
      </c>
      <c r="D412" s="34" t="s">
        <v>43</v>
      </c>
      <c r="E412" s="97">
        <v>0</v>
      </c>
      <c r="F412" s="98"/>
      <c r="G412" s="98"/>
      <c r="H412" s="99">
        <v>0</v>
      </c>
      <c r="I412" s="99"/>
      <c r="J412" s="99"/>
      <c r="K412" s="99">
        <v>0</v>
      </c>
      <c r="L412" s="99"/>
      <c r="M412" s="99"/>
      <c r="N412" s="99">
        <v>0</v>
      </c>
      <c r="O412" s="99"/>
      <c r="P412" s="99"/>
      <c r="Q412" s="99">
        <v>0</v>
      </c>
      <c r="R412" s="99"/>
      <c r="S412" s="99"/>
      <c r="T412" s="99">
        <v>0</v>
      </c>
      <c r="U412" s="99"/>
      <c r="V412" s="99"/>
      <c r="W412" s="99">
        <v>0</v>
      </c>
      <c r="X412" s="99"/>
      <c r="Y412" s="99"/>
      <c r="Z412" s="99">
        <v>0</v>
      </c>
      <c r="AA412" s="99"/>
      <c r="AB412" s="99"/>
      <c r="AC412" s="99">
        <v>0</v>
      </c>
      <c r="AD412" s="99"/>
      <c r="AE412" s="99"/>
      <c r="AF412" s="99">
        <v>0</v>
      </c>
      <c r="AG412" s="99"/>
      <c r="AH412" s="99"/>
      <c r="AI412" s="99">
        <v>0</v>
      </c>
      <c r="AJ412" s="100"/>
      <c r="AK412" s="100"/>
      <c r="AL412" s="101">
        <v>0</v>
      </c>
    </row>
    <row r="413" spans="1:38" x14ac:dyDescent="0.25">
      <c r="A413" s="73" t="s">
        <v>71</v>
      </c>
      <c r="B413" s="6" t="s">
        <v>72</v>
      </c>
      <c r="C413" s="7" t="s">
        <v>44</v>
      </c>
      <c r="D413" s="34" t="s">
        <v>45</v>
      </c>
      <c r="E413" s="102">
        <v>0</v>
      </c>
      <c r="F413" s="103"/>
      <c r="G413" s="103"/>
      <c r="H413" s="104">
        <v>0</v>
      </c>
      <c r="I413" s="104"/>
      <c r="J413" s="104"/>
      <c r="K413" s="104">
        <v>0</v>
      </c>
      <c r="L413" s="104"/>
      <c r="M413" s="104"/>
      <c r="N413" s="104">
        <v>0</v>
      </c>
      <c r="O413" s="104"/>
      <c r="P413" s="104"/>
      <c r="Q413" s="104">
        <v>0</v>
      </c>
      <c r="R413" s="104"/>
      <c r="S413" s="104"/>
      <c r="T413" s="104">
        <v>0</v>
      </c>
      <c r="U413" s="104"/>
      <c r="V413" s="104"/>
      <c r="W413" s="104">
        <v>0</v>
      </c>
      <c r="X413" s="104"/>
      <c r="Y413" s="104"/>
      <c r="Z413" s="104">
        <v>0</v>
      </c>
      <c r="AA413" s="104"/>
      <c r="AB413" s="104"/>
      <c r="AC413" s="104">
        <v>0</v>
      </c>
      <c r="AD413" s="104"/>
      <c r="AE413" s="104"/>
      <c r="AF413" s="104">
        <v>0</v>
      </c>
      <c r="AG413" s="104"/>
      <c r="AH413" s="104"/>
      <c r="AI413" s="104">
        <v>0</v>
      </c>
      <c r="AJ413" s="105"/>
      <c r="AK413" s="105"/>
      <c r="AL413" s="106">
        <v>0</v>
      </c>
    </row>
    <row r="414" spans="1:38" x14ac:dyDescent="0.25">
      <c r="A414" s="73" t="s">
        <v>71</v>
      </c>
      <c r="B414" s="6" t="s">
        <v>72</v>
      </c>
      <c r="C414" s="7" t="s">
        <v>46</v>
      </c>
      <c r="D414" s="34" t="s">
        <v>45</v>
      </c>
      <c r="E414" s="107">
        <v>0</v>
      </c>
      <c r="F414" s="108"/>
      <c r="G414" s="108"/>
      <c r="H414" s="109">
        <v>0</v>
      </c>
      <c r="I414" s="109"/>
      <c r="J414" s="109"/>
      <c r="K414" s="109">
        <v>0</v>
      </c>
      <c r="L414" s="109"/>
      <c r="M414" s="109"/>
      <c r="N414" s="109">
        <v>0</v>
      </c>
      <c r="O414" s="109"/>
      <c r="P414" s="109"/>
      <c r="Q414" s="109">
        <v>0</v>
      </c>
      <c r="R414" s="109"/>
      <c r="S414" s="109"/>
      <c r="T414" s="109">
        <v>0</v>
      </c>
      <c r="U414" s="109"/>
      <c r="V414" s="109"/>
      <c r="W414" s="109">
        <v>0</v>
      </c>
      <c r="X414" s="109"/>
      <c r="Y414" s="109"/>
      <c r="Z414" s="109">
        <v>0</v>
      </c>
      <c r="AA414" s="109"/>
      <c r="AB414" s="109"/>
      <c r="AC414" s="109">
        <v>0</v>
      </c>
      <c r="AD414" s="109"/>
      <c r="AE414" s="109"/>
      <c r="AF414" s="109">
        <v>0</v>
      </c>
      <c r="AG414" s="109"/>
      <c r="AH414" s="109"/>
      <c r="AI414" s="109">
        <v>0</v>
      </c>
      <c r="AJ414" s="110"/>
      <c r="AK414" s="110"/>
      <c r="AL414" s="111">
        <v>0</v>
      </c>
    </row>
    <row r="415" spans="1:38" x14ac:dyDescent="0.25">
      <c r="A415" s="73" t="s">
        <v>71</v>
      </c>
      <c r="B415" s="6" t="s">
        <v>72</v>
      </c>
      <c r="C415" s="7" t="s">
        <v>47</v>
      </c>
      <c r="D415" s="8" t="s">
        <v>23</v>
      </c>
      <c r="E415" s="49">
        <f>IFERROR(+E409/E412,0)</f>
        <v>0</v>
      </c>
      <c r="F415" s="50"/>
      <c r="G415" s="50"/>
      <c r="H415" s="51">
        <f>IFERROR(+H409/H412,0)</f>
        <v>0</v>
      </c>
      <c r="I415" s="52"/>
      <c r="J415" s="52"/>
      <c r="K415" s="51">
        <f>IFERROR(+K409/K412,0)</f>
        <v>0</v>
      </c>
      <c r="L415" s="52"/>
      <c r="M415" s="52"/>
      <c r="N415" s="51">
        <f>IFERROR(+N409/N412,0)</f>
        <v>0</v>
      </c>
      <c r="O415" s="52"/>
      <c r="P415" s="52"/>
      <c r="Q415" s="51">
        <f>IFERROR(+Q409/Q412,0)</f>
        <v>0</v>
      </c>
      <c r="R415" s="52"/>
      <c r="S415" s="52"/>
      <c r="T415" s="51">
        <f>IFERROR(+T409/T412,0)</f>
        <v>0</v>
      </c>
      <c r="U415" s="52"/>
      <c r="V415" s="52"/>
      <c r="W415" s="51">
        <f>IFERROR(+W409/W412,0)</f>
        <v>0</v>
      </c>
      <c r="X415" s="52"/>
      <c r="Y415" s="52"/>
      <c r="Z415" s="51">
        <f>IFERROR(+Z409/Z412,0)</f>
        <v>0</v>
      </c>
      <c r="AA415" s="52"/>
      <c r="AB415" s="52"/>
      <c r="AC415" s="51">
        <f>IFERROR(+AC409/AC412,0)</f>
        <v>0</v>
      </c>
      <c r="AD415" s="52"/>
      <c r="AE415" s="52"/>
      <c r="AF415" s="51">
        <f>IFERROR(+AF409/AF412,0)</f>
        <v>0</v>
      </c>
      <c r="AG415" s="52"/>
      <c r="AH415" s="52"/>
      <c r="AI415" s="51">
        <f>IFERROR(+AI409/AI412,0)</f>
        <v>0</v>
      </c>
      <c r="AJ415" s="53"/>
      <c r="AK415" s="53"/>
      <c r="AL415" s="112">
        <f>IFERROR(+AL409/AL412,0)</f>
        <v>0</v>
      </c>
    </row>
    <row r="416" spans="1:38" x14ac:dyDescent="0.25">
      <c r="A416" s="73" t="s">
        <v>71</v>
      </c>
      <c r="B416" s="6" t="s">
        <v>72</v>
      </c>
      <c r="C416" s="7" t="s">
        <v>48</v>
      </c>
      <c r="D416" s="34" t="s">
        <v>23</v>
      </c>
      <c r="E416" s="49">
        <f>IFERROR(+E410/E413,0)</f>
        <v>0</v>
      </c>
      <c r="F416" s="50"/>
      <c r="G416" s="50"/>
      <c r="H416" s="51">
        <f>IFERROR(+H410/H413,0)</f>
        <v>0</v>
      </c>
      <c r="I416" s="52"/>
      <c r="J416" s="52"/>
      <c r="K416" s="51">
        <f>IFERROR(+K410/K413,0)</f>
        <v>0</v>
      </c>
      <c r="L416" s="52"/>
      <c r="M416" s="52"/>
      <c r="N416" s="51">
        <f>IFERROR(+N410/N413,0)</f>
        <v>0</v>
      </c>
      <c r="O416" s="52"/>
      <c r="P416" s="52"/>
      <c r="Q416" s="51">
        <f>IFERROR(+Q410/Q413,0)</f>
        <v>0</v>
      </c>
      <c r="R416" s="52"/>
      <c r="S416" s="52"/>
      <c r="T416" s="51">
        <f>IFERROR(+T410/T413,0)</f>
        <v>0</v>
      </c>
      <c r="U416" s="52"/>
      <c r="V416" s="52"/>
      <c r="W416" s="51">
        <f>IFERROR(+W410/W413,0)</f>
        <v>0</v>
      </c>
      <c r="X416" s="52"/>
      <c r="Y416" s="52"/>
      <c r="Z416" s="51">
        <f>IFERROR(+Z410/Z413,0)</f>
        <v>0</v>
      </c>
      <c r="AA416" s="52"/>
      <c r="AB416" s="52"/>
      <c r="AC416" s="51">
        <f>IFERROR(+AC410/AC413,0)</f>
        <v>0</v>
      </c>
      <c r="AD416" s="52"/>
      <c r="AE416" s="52"/>
      <c r="AF416" s="51">
        <f>IFERROR(+AF410/AF413,0)</f>
        <v>0</v>
      </c>
      <c r="AG416" s="52"/>
      <c r="AH416" s="52"/>
      <c r="AI416" s="51">
        <f>IFERROR(+AI410/AI413,0)</f>
        <v>0</v>
      </c>
      <c r="AJ416" s="53"/>
      <c r="AK416" s="53"/>
      <c r="AL416" s="112">
        <f>IFERROR(+AL410/AL413,0)</f>
        <v>0</v>
      </c>
    </row>
    <row r="417" spans="1:38" x14ac:dyDescent="0.25">
      <c r="A417" s="73" t="s">
        <v>71</v>
      </c>
      <c r="B417" s="6" t="s">
        <v>72</v>
      </c>
      <c r="C417" s="7" t="s">
        <v>49</v>
      </c>
      <c r="D417" s="34" t="s">
        <v>23</v>
      </c>
      <c r="E417" s="54">
        <f>IFERROR(+E411/E414,0)</f>
        <v>0</v>
      </c>
      <c r="F417" s="55"/>
      <c r="G417" s="55"/>
      <c r="H417" s="56">
        <f>IFERROR(+H411/H414,0)</f>
        <v>0</v>
      </c>
      <c r="I417" s="57"/>
      <c r="J417" s="57"/>
      <c r="K417" s="56">
        <f>IFERROR(+K411/K414,0)</f>
        <v>0</v>
      </c>
      <c r="L417" s="57"/>
      <c r="M417" s="57"/>
      <c r="N417" s="56">
        <f>IFERROR(+N411/N414,0)</f>
        <v>0</v>
      </c>
      <c r="O417" s="57"/>
      <c r="P417" s="57"/>
      <c r="Q417" s="56">
        <f>IFERROR(+Q411/Q414,0)</f>
        <v>0</v>
      </c>
      <c r="R417" s="57"/>
      <c r="S417" s="57"/>
      <c r="T417" s="56">
        <f>IFERROR(+T411/T414,0)</f>
        <v>0</v>
      </c>
      <c r="U417" s="57"/>
      <c r="V417" s="57"/>
      <c r="W417" s="56">
        <f>IFERROR(+W411/W414,0)</f>
        <v>0</v>
      </c>
      <c r="X417" s="57"/>
      <c r="Y417" s="57"/>
      <c r="Z417" s="56">
        <f>IFERROR(+Z411/Z414,0)</f>
        <v>0</v>
      </c>
      <c r="AA417" s="57"/>
      <c r="AB417" s="57"/>
      <c r="AC417" s="56">
        <f>IFERROR(+AC411/AC414,0)</f>
        <v>0</v>
      </c>
      <c r="AD417" s="57"/>
      <c r="AE417" s="57"/>
      <c r="AF417" s="56">
        <f>IFERROR(+AF411/AF414,0)</f>
        <v>0</v>
      </c>
      <c r="AG417" s="57"/>
      <c r="AH417" s="57"/>
      <c r="AI417" s="56">
        <f>IFERROR(+AI411/AI414,0)</f>
        <v>0</v>
      </c>
      <c r="AJ417" s="58"/>
      <c r="AK417" s="58"/>
      <c r="AL417" s="113">
        <f>IFERROR(+AL411/AL414,0)</f>
        <v>0</v>
      </c>
    </row>
    <row r="418" spans="1:38" x14ac:dyDescent="0.25">
      <c r="A418" s="73" t="s">
        <v>71</v>
      </c>
      <c r="B418" s="6" t="s">
        <v>72</v>
      </c>
      <c r="C418" s="7" t="s">
        <v>50</v>
      </c>
      <c r="D418" s="8" t="s">
        <v>23</v>
      </c>
      <c r="E418" s="59">
        <f>+'[1]DEKK AKMERKEZ'!C184</f>
        <v>32500</v>
      </c>
      <c r="F418" s="60"/>
      <c r="G418" s="60"/>
      <c r="H418" s="61">
        <f>+'[1]DEKK AKMERKEZ'!F184</f>
        <v>36875</v>
      </c>
      <c r="I418" s="61"/>
      <c r="J418" s="61"/>
      <c r="K418" s="61">
        <f>+'[1]DEKK AKMERKEZ'!I184</f>
        <v>60750</v>
      </c>
      <c r="L418" s="61"/>
      <c r="M418" s="61"/>
      <c r="N418" s="61">
        <f>+'[1]DEKK AKMERKEZ'!L184</f>
        <v>17000</v>
      </c>
      <c r="O418" s="61"/>
      <c r="P418" s="61"/>
      <c r="Q418" s="61">
        <f>+'[1]DEKK AKMERKEZ'!O184</f>
        <v>4605</v>
      </c>
      <c r="R418" s="61"/>
      <c r="S418" s="61"/>
      <c r="T418" s="61">
        <f>+'[1]DEKK AKMERKEZ'!R184</f>
        <v>315612.5</v>
      </c>
      <c r="U418" s="61"/>
      <c r="V418" s="61"/>
      <c r="W418" s="61">
        <f>+'[1]DEKK AKMERKEZ'!U184</f>
        <v>479500</v>
      </c>
      <c r="X418" s="61"/>
      <c r="Y418" s="61"/>
      <c r="Z418" s="61">
        <f>+'[1]DEKK AKMERKEZ'!X184</f>
        <v>0</v>
      </c>
      <c r="AA418" s="61"/>
      <c r="AB418" s="61"/>
      <c r="AC418" s="61">
        <f>+'[1]DEKK AKMERKEZ'!AA184</f>
        <v>0</v>
      </c>
      <c r="AD418" s="61"/>
      <c r="AE418" s="61"/>
      <c r="AF418" s="61">
        <f>+'[1]DEKK AKMERKEZ'!AD184</f>
        <v>0</v>
      </c>
      <c r="AG418" s="61"/>
      <c r="AH418" s="61"/>
      <c r="AI418" s="61">
        <f>+'[1]DEKK AKMERKEZ'!AG184</f>
        <v>0</v>
      </c>
      <c r="AJ418" s="62"/>
      <c r="AK418" s="62"/>
      <c r="AL418" s="114">
        <f>+'[1]DEKK AKMERKEZ'!AJ184</f>
        <v>0</v>
      </c>
    </row>
    <row r="419" spans="1:38" x14ac:dyDescent="0.25">
      <c r="A419" s="73" t="s">
        <v>71</v>
      </c>
      <c r="B419" s="6" t="s">
        <v>72</v>
      </c>
      <c r="C419" s="7" t="s">
        <v>51</v>
      </c>
      <c r="D419" s="8" t="s">
        <v>20</v>
      </c>
      <c r="E419" s="9"/>
      <c r="F419" s="10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2"/>
      <c r="AK419" s="12"/>
      <c r="AL419" s="74"/>
    </row>
    <row r="420" spans="1:38" x14ac:dyDescent="0.25">
      <c r="A420" s="85" t="s">
        <v>71</v>
      </c>
      <c r="B420" s="32" t="s">
        <v>72</v>
      </c>
      <c r="C420" s="33" t="s">
        <v>52</v>
      </c>
      <c r="D420" s="34" t="s">
        <v>23</v>
      </c>
      <c r="E420" s="24">
        <f>+'[1]DEKK AKMERKEZ'!C192</f>
        <v>0</v>
      </c>
      <c r="F420" s="25"/>
      <c r="G420" s="25"/>
      <c r="H420" s="26">
        <f>+'[1]DEKK AKMERKEZ'!F192</f>
        <v>0</v>
      </c>
      <c r="I420" s="26"/>
      <c r="J420" s="26"/>
      <c r="K420" s="26">
        <f>+'[1]DEKK AKMERKEZ'!I192</f>
        <v>0</v>
      </c>
      <c r="L420" s="26"/>
      <c r="M420" s="26"/>
      <c r="N420" s="26">
        <f>+'[1]DEKK AKMERKEZ'!L192</f>
        <v>0</v>
      </c>
      <c r="O420" s="26"/>
      <c r="P420" s="26"/>
      <c r="Q420" s="26">
        <f>+'[1]DEKK AKMERKEZ'!O192</f>
        <v>0</v>
      </c>
      <c r="R420" s="26"/>
      <c r="S420" s="26"/>
      <c r="T420" s="26">
        <f>+'[1]DEKK AKMERKEZ'!R192</f>
        <v>0</v>
      </c>
      <c r="U420" s="26"/>
      <c r="V420" s="26"/>
      <c r="W420" s="26">
        <f>+'[1]DEKK AKMERKEZ'!U192</f>
        <v>0</v>
      </c>
      <c r="X420" s="26"/>
      <c r="Y420" s="26"/>
      <c r="Z420" s="26">
        <f>+'[1]DEKK AKMERKEZ'!X192</f>
        <v>0</v>
      </c>
      <c r="AA420" s="26"/>
      <c r="AB420" s="26"/>
      <c r="AC420" s="26">
        <f>+'[1]DEKK AKMERKEZ'!AA192</f>
        <v>0</v>
      </c>
      <c r="AD420" s="26"/>
      <c r="AE420" s="26"/>
      <c r="AF420" s="26">
        <f>+'[1]DEKK AKMERKEZ'!AD192</f>
        <v>0</v>
      </c>
      <c r="AG420" s="26"/>
      <c r="AH420" s="26"/>
      <c r="AI420" s="26">
        <f>+'[1]DEKK AKMERKEZ'!AG192</f>
        <v>0</v>
      </c>
      <c r="AJ420" s="27"/>
      <c r="AK420" s="27"/>
      <c r="AL420" s="78">
        <f>+'[1]DEKK AKMERKEZ'!AJ192</f>
        <v>0</v>
      </c>
    </row>
    <row r="421" spans="1:38" x14ac:dyDescent="0.25">
      <c r="A421" s="85" t="s">
        <v>71</v>
      </c>
      <c r="B421" s="32" t="s">
        <v>72</v>
      </c>
      <c r="C421" s="33" t="s">
        <v>53</v>
      </c>
      <c r="D421" s="34" t="s">
        <v>23</v>
      </c>
      <c r="E421" s="28">
        <f>+'[1]DEKK AKMERKEZ'!C201-'[1]DEKK AKMERKEZ'!C134-'[1]DEKK AKMERKEZ'!C139-'[1]DEKK AKMERKEZ'!C156-'[1]DEKK AKMERKEZ'!C184-'[1]DEKK AKMERKEZ'!C192</f>
        <v>775203.07000000018</v>
      </c>
      <c r="F421" s="29"/>
      <c r="G421" s="29"/>
      <c r="H421" s="30">
        <f>+'[1]DEKK AKMERKEZ'!F201-'[1]DEKK AKMERKEZ'!F134-'[1]DEKK AKMERKEZ'!F139-'[1]DEKK AKMERKEZ'!F156-'[1]DEKK AKMERKEZ'!F184-'[1]DEKK AKMERKEZ'!F192</f>
        <v>691095.28</v>
      </c>
      <c r="I421" s="30"/>
      <c r="J421" s="30"/>
      <c r="K421" s="30">
        <f>+'[1]DEKK AKMERKEZ'!I201-'[1]DEKK AKMERKEZ'!I134-'[1]DEKK AKMERKEZ'!I139-'[1]DEKK AKMERKEZ'!I156-'[1]DEKK AKMERKEZ'!I184-'[1]DEKK AKMERKEZ'!I192</f>
        <v>734539.26</v>
      </c>
      <c r="L421" s="30"/>
      <c r="M421" s="30"/>
      <c r="N421" s="30">
        <f>+'[1]DEKK AKMERKEZ'!L201-'[1]DEKK AKMERKEZ'!L134-'[1]DEKK AKMERKEZ'!L139-'[1]DEKK AKMERKEZ'!L156-'[1]DEKK AKMERKEZ'!L184-'[1]DEKK AKMERKEZ'!L192</f>
        <v>805507.15</v>
      </c>
      <c r="O421" s="30"/>
      <c r="P421" s="30"/>
      <c r="Q421" s="30">
        <f>+'[1]DEKK AKMERKEZ'!O201-'[1]DEKK AKMERKEZ'!O134-'[1]DEKK AKMERKEZ'!O139-'[1]DEKK AKMERKEZ'!O156-'[1]DEKK AKMERKEZ'!O184-'[1]DEKK AKMERKEZ'!O192</f>
        <v>775735.10000000021</v>
      </c>
      <c r="R421" s="30"/>
      <c r="S421" s="30"/>
      <c r="T421" s="30">
        <f>+'[1]DEKK AKMERKEZ'!R201-'[1]DEKK AKMERKEZ'!R134-'[1]DEKK AKMERKEZ'!R139-'[1]DEKK AKMERKEZ'!R156-'[1]DEKK AKMERKEZ'!R184-'[1]DEKK AKMERKEZ'!R192</f>
        <v>840693.44999999972</v>
      </c>
      <c r="U421" s="30"/>
      <c r="V421" s="30"/>
      <c r="W421" s="30">
        <f>+'[1]DEKK AKMERKEZ'!U201-'[1]DEKK AKMERKEZ'!U134-'[1]DEKK AKMERKEZ'!U139-'[1]DEKK AKMERKEZ'!U156-'[1]DEKK AKMERKEZ'!U184-'[1]DEKK AKMERKEZ'!U192</f>
        <v>935276.08000000007</v>
      </c>
      <c r="X421" s="30"/>
      <c r="Y421" s="30"/>
      <c r="Z421" s="30">
        <f>+'[1]DEKK AKMERKEZ'!X201-'[1]DEKK AKMERKEZ'!X134-'[1]DEKK AKMERKEZ'!X139-'[1]DEKK AKMERKEZ'!X156-'[1]DEKK AKMERKEZ'!X184-'[1]DEKK AKMERKEZ'!X192</f>
        <v>0</v>
      </c>
      <c r="AA421" s="30"/>
      <c r="AB421" s="30"/>
      <c r="AC421" s="30">
        <f>+'[1]DEKK AKMERKEZ'!AA201-'[1]DEKK AKMERKEZ'!AA134-'[1]DEKK AKMERKEZ'!AA139-'[1]DEKK AKMERKEZ'!AA156-'[1]DEKK AKMERKEZ'!AA184-'[1]DEKK AKMERKEZ'!AA192</f>
        <v>0</v>
      </c>
      <c r="AD421" s="30"/>
      <c r="AE421" s="30"/>
      <c r="AF421" s="30">
        <f>+'[1]DEKK AKMERKEZ'!AD201-'[1]DEKK AKMERKEZ'!AD134-'[1]DEKK AKMERKEZ'!AD139-'[1]DEKK AKMERKEZ'!AD156-'[1]DEKK AKMERKEZ'!AD184-'[1]DEKK AKMERKEZ'!AD192</f>
        <v>0</v>
      </c>
      <c r="AG421" s="30"/>
      <c r="AH421" s="30"/>
      <c r="AI421" s="30">
        <f>+'[1]DEKK AKMERKEZ'!AG201-'[1]DEKK AKMERKEZ'!AG134-'[1]DEKK AKMERKEZ'!AG139-'[1]DEKK AKMERKEZ'!AG156-'[1]DEKK AKMERKEZ'!AG184-'[1]DEKK AKMERKEZ'!AG192</f>
        <v>0</v>
      </c>
      <c r="AJ421" s="31"/>
      <c r="AK421" s="31"/>
      <c r="AL421" s="79">
        <f>+'[1]DEKK AKMERKEZ'!AJ201-'[1]DEKK AKMERKEZ'!AJ134-'[1]DEKK AKMERKEZ'!AJ139-'[1]DEKK AKMERKEZ'!AJ156-'[1]DEKK AKMERKEZ'!AJ184-'[1]DEKK AKMERKEZ'!AJ192</f>
        <v>0</v>
      </c>
    </row>
    <row r="422" spans="1:38" x14ac:dyDescent="0.25">
      <c r="A422" s="85" t="s">
        <v>71</v>
      </c>
      <c r="B422" s="32" t="s">
        <v>72</v>
      </c>
      <c r="C422" s="33" t="s">
        <v>54</v>
      </c>
      <c r="D422" s="34" t="s">
        <v>23</v>
      </c>
      <c r="E422" s="59">
        <f>+E397+E398+E407+E409+E410+E411+E418+E420+E421</f>
        <v>1588525.7832402543</v>
      </c>
      <c r="F422" s="60"/>
      <c r="G422" s="60"/>
      <c r="H422" s="61">
        <f>+H397+H398+H407+H409+H410+H411+H418+H420+H421</f>
        <v>1219035.6976892035</v>
      </c>
      <c r="I422" s="61"/>
      <c r="J422" s="61"/>
      <c r="K422" s="61">
        <f>+K397+K398+K407+K409+K410+K411+K418+K420+K421</f>
        <v>1318889.21</v>
      </c>
      <c r="L422" s="61"/>
      <c r="M422" s="61"/>
      <c r="N422" s="61">
        <f>+N397+N398+N407+N409+N410+N411+N418+N420+N421</f>
        <v>1333089.1000000001</v>
      </c>
      <c r="O422" s="61"/>
      <c r="P422" s="61"/>
      <c r="Q422" s="61">
        <f>+Q397+Q398+Q407+Q409+Q410+Q411+Q418+Q420+Q421</f>
        <v>1345357.7000000002</v>
      </c>
      <c r="R422" s="61"/>
      <c r="S422" s="61"/>
      <c r="T422" s="61">
        <f>+T397+T398+T407+T409+T410+T411+T418+T420+T421</f>
        <v>1831631.5369269825</v>
      </c>
      <c r="U422" s="61"/>
      <c r="V422" s="61"/>
      <c r="W422" s="61">
        <f>+W397+W398+W407+W409+W410+W411+W418+W420+W421</f>
        <v>2167984.08</v>
      </c>
      <c r="X422" s="61"/>
      <c r="Y422" s="61"/>
      <c r="Z422" s="61">
        <f>+Z397+Z398+Z407+Z409+Z410+Z411+Z418+Z420+Z421</f>
        <v>0</v>
      </c>
      <c r="AA422" s="61"/>
      <c r="AB422" s="61"/>
      <c r="AC422" s="61">
        <f>+AC397+AC398+AC407+AC409+AC410+AC411+AC418+AC420+AC421</f>
        <v>0</v>
      </c>
      <c r="AD422" s="61"/>
      <c r="AE422" s="61"/>
      <c r="AF422" s="61">
        <f>+AF397+AF398+AF407+AF409+AF410+AF411+AF418+AF420+AF421</f>
        <v>0</v>
      </c>
      <c r="AG422" s="61"/>
      <c r="AH422" s="61"/>
      <c r="AI422" s="61">
        <f>+AI397+AI398+AI407+AI409+AI410+AI411+AI418+AI420+AI421</f>
        <v>0</v>
      </c>
      <c r="AJ422" s="62"/>
      <c r="AK422" s="62"/>
      <c r="AL422" s="114">
        <f>+AL397+AL398+AL407+AL409+AL410+AL411+AL418+AL420+AL421</f>
        <v>0</v>
      </c>
    </row>
    <row r="423" spans="1:38" ht="15.75" thickBot="1" x14ac:dyDescent="0.3">
      <c r="A423" s="115" t="s">
        <v>71</v>
      </c>
      <c r="B423" s="116" t="s">
        <v>72</v>
      </c>
      <c r="C423" s="117" t="s">
        <v>55</v>
      </c>
      <c r="D423" s="118" t="s">
        <v>23</v>
      </c>
      <c r="E423" s="119">
        <f>+E422-'[1]DEKK AKMERKEZ'!C201</f>
        <v>0</v>
      </c>
      <c r="F423" s="120"/>
      <c r="G423" s="120"/>
      <c r="H423" s="121">
        <f>+H422-'[1]DEKK AKMERKEZ'!F201</f>
        <v>0</v>
      </c>
      <c r="I423" s="121"/>
      <c r="J423" s="121"/>
      <c r="K423" s="121">
        <f>+K422-'[1]DEKK AKMERKEZ'!I201</f>
        <v>0</v>
      </c>
      <c r="L423" s="121"/>
      <c r="M423" s="121"/>
      <c r="N423" s="121">
        <f>+N422-'[1]DEKK AKMERKEZ'!L201</f>
        <v>0</v>
      </c>
      <c r="O423" s="121"/>
      <c r="P423" s="121"/>
      <c r="Q423" s="121">
        <f>+Q422-'[1]DEKK AKMERKEZ'!O201</f>
        <v>0</v>
      </c>
      <c r="R423" s="121"/>
      <c r="S423" s="121"/>
      <c r="T423" s="121">
        <f>+T422-'[1]DEKK AKMERKEZ'!R201</f>
        <v>0</v>
      </c>
      <c r="U423" s="121"/>
      <c r="V423" s="121"/>
      <c r="W423" s="121">
        <f>+W422-'[1]DEKK AKMERKEZ'!U201</f>
        <v>0</v>
      </c>
      <c r="X423" s="121"/>
      <c r="Y423" s="121"/>
      <c r="Z423" s="121">
        <f>+Z422-'[1]DEKK AKMERKEZ'!X201</f>
        <v>0</v>
      </c>
      <c r="AA423" s="121"/>
      <c r="AB423" s="121"/>
      <c r="AC423" s="121">
        <f>+AC422-'[1]DEKK AKMERKEZ'!AA201</f>
        <v>0</v>
      </c>
      <c r="AD423" s="121"/>
      <c r="AE423" s="121"/>
      <c r="AF423" s="121">
        <f>+AF422-'[1]DEKK AKMERKEZ'!AD201</f>
        <v>0</v>
      </c>
      <c r="AG423" s="121"/>
      <c r="AH423" s="121"/>
      <c r="AI423" s="121">
        <f>+AI422-'[1]DEKK AKMERKEZ'!AG201</f>
        <v>0</v>
      </c>
      <c r="AJ423" s="122"/>
      <c r="AK423" s="122"/>
      <c r="AL423" s="123">
        <f>+AL422-'[1]DEKK AKMERKEZ'!AJ201</f>
        <v>0</v>
      </c>
    </row>
    <row r="424" spans="1:38" x14ac:dyDescent="0.25">
      <c r="A424" s="64" t="s">
        <v>71</v>
      </c>
      <c r="B424" s="65" t="s">
        <v>73</v>
      </c>
      <c r="C424" s="66" t="s">
        <v>19</v>
      </c>
      <c r="D424" s="67" t="s">
        <v>20</v>
      </c>
      <c r="E424" s="68">
        <f>+'[1]DEKK AKMERKEZ'!C215</f>
        <v>1568</v>
      </c>
      <c r="F424" s="69"/>
      <c r="G424" s="69"/>
      <c r="H424" s="70">
        <f>+'[1]DEKK AKMERKEZ'!F215</f>
        <v>1185</v>
      </c>
      <c r="I424" s="70"/>
      <c r="J424" s="70"/>
      <c r="K424" s="70">
        <f>+'[1]DEKK AKMERKEZ'!I215</f>
        <v>1432</v>
      </c>
      <c r="L424" s="70"/>
      <c r="M424" s="70"/>
      <c r="N424" s="70">
        <f>+'[1]DEKK AKMERKEZ'!L215</f>
        <v>1964</v>
      </c>
      <c r="O424" s="70"/>
      <c r="P424" s="70"/>
      <c r="Q424" s="70">
        <f>+'[1]DEKK AKMERKEZ'!O215</f>
        <v>1927</v>
      </c>
      <c r="R424" s="70"/>
      <c r="S424" s="70"/>
      <c r="T424" s="70">
        <f>+'[1]DEKK AKMERKEZ'!R215</f>
        <v>2736</v>
      </c>
      <c r="U424" s="70"/>
      <c r="V424" s="70"/>
      <c r="W424" s="70">
        <f>+'[1]DEKK AKMERKEZ'!U215</f>
        <v>2733</v>
      </c>
      <c r="X424" s="70"/>
      <c r="Y424" s="70"/>
      <c r="Z424" s="70">
        <f>+'[1]DEKK AKMERKEZ'!X215</f>
        <v>0</v>
      </c>
      <c r="AA424" s="70"/>
      <c r="AB424" s="70"/>
      <c r="AC424" s="70">
        <f>+'[1]DEKK AKMERKEZ'!AA215</f>
        <v>0</v>
      </c>
      <c r="AD424" s="70"/>
      <c r="AE424" s="70"/>
      <c r="AF424" s="70">
        <f>+'[1]DEKK AKMERKEZ'!AD215</f>
        <v>0</v>
      </c>
      <c r="AG424" s="70"/>
      <c r="AH424" s="70"/>
      <c r="AI424" s="70">
        <f>+'[1]DEKK AKMERKEZ'!AG215</f>
        <v>0</v>
      </c>
      <c r="AJ424" s="71"/>
      <c r="AK424" s="71"/>
      <c r="AL424" s="72">
        <f>+'[1]DEKK AKMERKEZ'!AJ215</f>
        <v>0</v>
      </c>
    </row>
    <row r="425" spans="1:38" x14ac:dyDescent="0.25">
      <c r="A425" s="73" t="s">
        <v>71</v>
      </c>
      <c r="B425" s="6" t="s">
        <v>73</v>
      </c>
      <c r="C425" s="7" t="s">
        <v>21</v>
      </c>
      <c r="D425" s="8" t="s">
        <v>20</v>
      </c>
      <c r="E425" s="9"/>
      <c r="F425" s="10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2"/>
      <c r="AK425" s="12"/>
      <c r="AL425" s="74"/>
    </row>
    <row r="426" spans="1:38" x14ac:dyDescent="0.25">
      <c r="A426" s="73" t="s">
        <v>71</v>
      </c>
      <c r="B426" s="6" t="s">
        <v>73</v>
      </c>
      <c r="C426" s="7" t="s">
        <v>22</v>
      </c>
      <c r="D426" s="8" t="s">
        <v>23</v>
      </c>
      <c r="E426" s="13">
        <f>+'[1]DEKK AKMERKEZ'!C210</f>
        <v>90.9</v>
      </c>
      <c r="F426" s="14"/>
      <c r="G426" s="14"/>
      <c r="H426" s="15">
        <f>+'[1]DEKK AKMERKEZ'!F210</f>
        <v>0</v>
      </c>
      <c r="I426" s="14"/>
      <c r="J426" s="14"/>
      <c r="K426" s="13">
        <f>+'[1]DEKK AKMERKEZ'!I210</f>
        <v>0</v>
      </c>
      <c r="L426" s="14"/>
      <c r="M426" s="14"/>
      <c r="N426" s="15">
        <f>+'[1]DEKK AKMERKEZ'!L210</f>
        <v>4613.63</v>
      </c>
      <c r="O426" s="15"/>
      <c r="P426" s="15"/>
      <c r="Q426" s="15">
        <f>+'[1]DEKK AKMERKEZ'!O210</f>
        <v>0</v>
      </c>
      <c r="R426" s="15"/>
      <c r="S426" s="15"/>
      <c r="T426" s="15">
        <f>+'[1]DEKK AKMERKEZ'!R210</f>
        <v>72753.63</v>
      </c>
      <c r="U426" s="15"/>
      <c r="V426" s="15"/>
      <c r="W426" s="15">
        <f>+'[1]DEKK AKMERKEZ'!U210</f>
        <v>-6135.44</v>
      </c>
      <c r="X426" s="15"/>
      <c r="Y426" s="15"/>
      <c r="Z426" s="15">
        <f>+'[1]DEKK AKMERKEZ'!X210</f>
        <v>0</v>
      </c>
      <c r="AA426" s="15"/>
      <c r="AB426" s="15"/>
      <c r="AC426" s="15">
        <f>+'[1]DEKK AKMERKEZ'!AA210</f>
        <v>0</v>
      </c>
      <c r="AD426" s="15"/>
      <c r="AE426" s="15"/>
      <c r="AF426" s="15">
        <f>+'[1]DEKK AKMERKEZ'!AD210</f>
        <v>0</v>
      </c>
      <c r="AG426" s="15"/>
      <c r="AH426" s="15"/>
      <c r="AI426" s="15">
        <f>+'[1]DEKK AKMERKEZ'!AG210</f>
        <v>0</v>
      </c>
      <c r="AJ426" s="16"/>
      <c r="AK426" s="16"/>
      <c r="AL426" s="75">
        <f>+'[1]DEKK AKMERKEZ'!AJ210</f>
        <v>0</v>
      </c>
    </row>
    <row r="427" spans="1:38" x14ac:dyDescent="0.25">
      <c r="A427" s="73" t="s">
        <v>71</v>
      </c>
      <c r="B427" s="6" t="s">
        <v>73</v>
      </c>
      <c r="C427" s="7" t="s">
        <v>24</v>
      </c>
      <c r="D427" s="8" t="s">
        <v>23</v>
      </c>
      <c r="E427" s="13">
        <f>+'[1]DEKK AKMERKEZ'!C211</f>
        <v>645782.62000000011</v>
      </c>
      <c r="F427" s="17"/>
      <c r="G427" s="17"/>
      <c r="H427" s="18">
        <f>+'[1]DEKK AKMERKEZ'!F211</f>
        <v>494801.26</v>
      </c>
      <c r="I427" s="18"/>
      <c r="J427" s="18"/>
      <c r="K427" s="18">
        <f>+'[1]DEKK AKMERKEZ'!I211</f>
        <v>631148.62999999989</v>
      </c>
      <c r="L427" s="18"/>
      <c r="M427" s="18"/>
      <c r="N427" s="18">
        <f>+'[1]DEKK AKMERKEZ'!L211</f>
        <v>818877.69999999984</v>
      </c>
      <c r="O427" s="18"/>
      <c r="P427" s="18"/>
      <c r="Q427" s="18">
        <f>+'[1]DEKK AKMERKEZ'!O211</f>
        <v>770667.52000000002</v>
      </c>
      <c r="R427" s="18"/>
      <c r="S427" s="18"/>
      <c r="T427" s="18">
        <f>+'[1]DEKK AKMERKEZ'!R211</f>
        <v>961378.98999999987</v>
      </c>
      <c r="U427" s="18"/>
      <c r="V427" s="18"/>
      <c r="W427" s="18">
        <f>+'[1]DEKK AKMERKEZ'!U211</f>
        <v>1049094.04</v>
      </c>
      <c r="X427" s="18"/>
      <c r="Y427" s="18"/>
      <c r="Z427" s="18">
        <f>+'[1]DEKK AKMERKEZ'!X211</f>
        <v>0</v>
      </c>
      <c r="AA427" s="18"/>
      <c r="AB427" s="18"/>
      <c r="AC427" s="18">
        <f>+'[1]DEKK AKMERKEZ'!AA211</f>
        <v>0</v>
      </c>
      <c r="AD427" s="18"/>
      <c r="AE427" s="18"/>
      <c r="AF427" s="18">
        <f>+'[1]DEKK AKMERKEZ'!AD211</f>
        <v>0</v>
      </c>
      <c r="AG427" s="18"/>
      <c r="AH427" s="18"/>
      <c r="AI427" s="18">
        <f>+'[1]DEKK AKMERKEZ'!AG211</f>
        <v>0</v>
      </c>
      <c r="AJ427" s="19"/>
      <c r="AK427" s="19"/>
      <c r="AL427" s="76">
        <f>+'[1]DEKK AKMERKEZ'!AJ211</f>
        <v>0</v>
      </c>
    </row>
    <row r="428" spans="1:38" x14ac:dyDescent="0.25">
      <c r="A428" s="73" t="s">
        <v>71</v>
      </c>
      <c r="B428" s="6" t="s">
        <v>73</v>
      </c>
      <c r="C428" s="7" t="s">
        <v>25</v>
      </c>
      <c r="D428" s="8" t="s">
        <v>23</v>
      </c>
      <c r="E428" s="20">
        <f>+'[1]DEKK AKMERKEZ'!C214-'[1]DEKK AKMERKEZ'!C210-'[1]DEKK AKMERKEZ'!C211</f>
        <v>0</v>
      </c>
      <c r="F428" s="21"/>
      <c r="G428" s="21"/>
      <c r="H428" s="22">
        <f>+'[1]DEKK AKMERKEZ'!F214-'[1]DEKK AKMERKEZ'!F210-'[1]DEKK AKMERKEZ'!F211</f>
        <v>0</v>
      </c>
      <c r="I428" s="22"/>
      <c r="J428" s="22"/>
      <c r="K428" s="22">
        <f>+'[1]DEKK AKMERKEZ'!I214-'[1]DEKK AKMERKEZ'!I210-'[1]DEKK AKMERKEZ'!I211</f>
        <v>0</v>
      </c>
      <c r="L428" s="22"/>
      <c r="M428" s="22"/>
      <c r="N428" s="22">
        <f>+'[1]DEKK AKMERKEZ'!L214-'[1]DEKK AKMERKEZ'!L210-'[1]DEKK AKMERKEZ'!L211</f>
        <v>0</v>
      </c>
      <c r="O428" s="22"/>
      <c r="P428" s="22"/>
      <c r="Q428" s="22">
        <f>+'[1]DEKK AKMERKEZ'!O214-'[1]DEKK AKMERKEZ'!O210-'[1]DEKK AKMERKEZ'!O211</f>
        <v>0</v>
      </c>
      <c r="R428" s="22"/>
      <c r="S428" s="22"/>
      <c r="T428" s="22">
        <f>+'[1]DEKK AKMERKEZ'!R214-'[1]DEKK AKMERKEZ'!R210-'[1]DEKK AKMERKEZ'!R211</f>
        <v>0</v>
      </c>
      <c r="U428" s="22"/>
      <c r="V428" s="22"/>
      <c r="W428" s="22">
        <f>+'[1]DEKK AKMERKEZ'!U214-'[1]DEKK AKMERKEZ'!U210-'[1]DEKK AKMERKEZ'!U211</f>
        <v>516.66999999992549</v>
      </c>
      <c r="X428" s="22"/>
      <c r="Y428" s="22"/>
      <c r="Z428" s="22">
        <f>+'[1]DEKK AKMERKEZ'!X214-'[1]DEKK AKMERKEZ'!X210-'[1]DEKK AKMERKEZ'!X211</f>
        <v>0</v>
      </c>
      <c r="AA428" s="22"/>
      <c r="AB428" s="22"/>
      <c r="AC428" s="22">
        <f>+'[1]DEKK AKMERKEZ'!AA214-'[1]DEKK AKMERKEZ'!AA210-'[1]DEKK AKMERKEZ'!AA211</f>
        <v>0</v>
      </c>
      <c r="AD428" s="22"/>
      <c r="AE428" s="22"/>
      <c r="AF428" s="22">
        <f>+'[1]DEKK AKMERKEZ'!AD214-'[1]DEKK AKMERKEZ'!AD210-'[1]DEKK AKMERKEZ'!AD211</f>
        <v>0</v>
      </c>
      <c r="AG428" s="22"/>
      <c r="AH428" s="22"/>
      <c r="AI428" s="22">
        <f>+'[1]DEKK AKMERKEZ'!AG214-'[1]DEKK AKMERKEZ'!AG210-'[1]DEKK AKMERKEZ'!AG211</f>
        <v>0</v>
      </c>
      <c r="AJ428" s="23"/>
      <c r="AK428" s="23"/>
      <c r="AL428" s="77">
        <f>+'[1]DEKK AKMERKEZ'!AJ214-'[1]DEKK AKMERKEZ'!AJ210-'[1]DEKK AKMERKEZ'!AJ211</f>
        <v>0</v>
      </c>
    </row>
    <row r="429" spans="1:38" x14ac:dyDescent="0.25">
      <c r="A429" s="73" t="s">
        <v>71</v>
      </c>
      <c r="B429" s="6" t="s">
        <v>73</v>
      </c>
      <c r="C429" s="7" t="s">
        <v>26</v>
      </c>
      <c r="D429" s="8" t="s">
        <v>23</v>
      </c>
      <c r="E429" s="24">
        <f>+'[1]DEKK AKMERKEZ'!C235</f>
        <v>25860.7</v>
      </c>
      <c r="F429" s="25"/>
      <c r="G429" s="25"/>
      <c r="H429" s="26">
        <f>+'[1]DEKK AKMERKEZ'!F235</f>
        <v>8508.09</v>
      </c>
      <c r="I429" s="26"/>
      <c r="J429" s="26"/>
      <c r="K429" s="26">
        <f>+'[1]DEKK AKMERKEZ'!I235</f>
        <v>22292.15</v>
      </c>
      <c r="L429" s="26"/>
      <c r="M429" s="26"/>
      <c r="N429" s="26">
        <f>+'[1]DEKK AKMERKEZ'!L235</f>
        <v>6140.94</v>
      </c>
      <c r="O429" s="26"/>
      <c r="P429" s="26"/>
      <c r="Q429" s="26">
        <f>+'[1]DEKK AKMERKEZ'!O235</f>
        <v>32031.55</v>
      </c>
      <c r="R429" s="26"/>
      <c r="S429" s="26"/>
      <c r="T429" s="26">
        <f>+'[1]DEKK AKMERKEZ'!R235</f>
        <v>49051.41</v>
      </c>
      <c r="U429" s="26"/>
      <c r="V429" s="26"/>
      <c r="W429" s="26">
        <f>+'[1]DEKK AKMERKEZ'!U235</f>
        <v>19142.920000000002</v>
      </c>
      <c r="X429" s="26"/>
      <c r="Y429" s="26"/>
      <c r="Z429" s="26">
        <f>+'[1]DEKK AKMERKEZ'!X235</f>
        <v>0</v>
      </c>
      <c r="AA429" s="26"/>
      <c r="AB429" s="26"/>
      <c r="AC429" s="26">
        <f>+'[1]DEKK AKMERKEZ'!AA235</f>
        <v>0</v>
      </c>
      <c r="AD429" s="26"/>
      <c r="AE429" s="26"/>
      <c r="AF429" s="26">
        <f>+'[1]DEKK AKMERKEZ'!AD235</f>
        <v>0</v>
      </c>
      <c r="AG429" s="26"/>
      <c r="AH429" s="26"/>
      <c r="AI429" s="26">
        <f>+'[1]DEKK AKMERKEZ'!AG235</f>
        <v>0</v>
      </c>
      <c r="AJ429" s="27"/>
      <c r="AK429" s="27"/>
      <c r="AL429" s="78">
        <f>+'[1]DEKK AKMERKEZ'!AJ235</f>
        <v>0</v>
      </c>
    </row>
    <row r="430" spans="1:38" x14ac:dyDescent="0.25">
      <c r="A430" s="73" t="s">
        <v>71</v>
      </c>
      <c r="B430" s="6" t="s">
        <v>73</v>
      </c>
      <c r="C430" s="7" t="s">
        <v>27</v>
      </c>
      <c r="D430" s="8" t="s">
        <v>23</v>
      </c>
      <c r="E430" s="28">
        <f>+'[1]DEKK AKMERKEZ'!C236</f>
        <v>308189.52999999997</v>
      </c>
      <c r="F430" s="29"/>
      <c r="G430" s="29"/>
      <c r="H430" s="30">
        <f>+'[1]DEKK AKMERKEZ'!F236</f>
        <v>107635.47999999998</v>
      </c>
      <c r="I430" s="30"/>
      <c r="J430" s="30"/>
      <c r="K430" s="30">
        <f>+'[1]DEKK AKMERKEZ'!I236</f>
        <v>179865.33000000002</v>
      </c>
      <c r="L430" s="30"/>
      <c r="M430" s="30"/>
      <c r="N430" s="30">
        <f>+'[1]DEKK AKMERKEZ'!L236</f>
        <v>315774.02999999997</v>
      </c>
      <c r="O430" s="30"/>
      <c r="P430" s="30"/>
      <c r="Q430" s="30">
        <f>+'[1]DEKK AKMERKEZ'!O236</f>
        <v>248886.61</v>
      </c>
      <c r="R430" s="30"/>
      <c r="S430" s="30"/>
      <c r="T430" s="30">
        <f>+'[1]DEKK AKMERKEZ'!R236</f>
        <v>304176.27</v>
      </c>
      <c r="U430" s="30"/>
      <c r="V430" s="30"/>
      <c r="W430" s="30">
        <f>+'[1]DEKK AKMERKEZ'!U236</f>
        <v>286263.02</v>
      </c>
      <c r="X430" s="30"/>
      <c r="Y430" s="30"/>
      <c r="Z430" s="30">
        <f>+'[1]DEKK AKMERKEZ'!X236</f>
        <v>0</v>
      </c>
      <c r="AA430" s="30"/>
      <c r="AB430" s="30"/>
      <c r="AC430" s="30">
        <f>+'[1]DEKK AKMERKEZ'!AA236</f>
        <v>0</v>
      </c>
      <c r="AD430" s="30"/>
      <c r="AE430" s="30"/>
      <c r="AF430" s="30">
        <f>+'[1]DEKK AKMERKEZ'!AD236</f>
        <v>0</v>
      </c>
      <c r="AG430" s="30"/>
      <c r="AH430" s="30"/>
      <c r="AI430" s="30">
        <f>+'[1]DEKK AKMERKEZ'!AG236</f>
        <v>0</v>
      </c>
      <c r="AJ430" s="31"/>
      <c r="AK430" s="31"/>
      <c r="AL430" s="79">
        <f>+'[1]DEKK AKMERKEZ'!AJ236</f>
        <v>0</v>
      </c>
    </row>
    <row r="431" spans="1:38" x14ac:dyDescent="0.25">
      <c r="A431" s="73" t="s">
        <v>71</v>
      </c>
      <c r="B431" s="6" t="s">
        <v>73</v>
      </c>
      <c r="C431" s="7" t="s">
        <v>28</v>
      </c>
      <c r="D431" s="8" t="s">
        <v>29</v>
      </c>
      <c r="E431" s="124">
        <f>+'[1]DEKK AKMERKEZ'!C219</f>
        <v>5</v>
      </c>
      <c r="F431" s="125"/>
      <c r="G431" s="125"/>
      <c r="H431" s="126">
        <f>+'[1]DEKK AKMERKEZ'!F219</f>
        <v>5</v>
      </c>
      <c r="I431" s="126"/>
      <c r="J431" s="126"/>
      <c r="K431" s="126">
        <f>+'[1]DEKK AKMERKEZ'!I219</f>
        <v>5</v>
      </c>
      <c r="L431" s="126"/>
      <c r="M431" s="126"/>
      <c r="N431" s="126">
        <f>+'[1]DEKK AKMERKEZ'!L219</f>
        <v>5</v>
      </c>
      <c r="O431" s="126"/>
      <c r="P431" s="126"/>
      <c r="Q431" s="126">
        <f>+'[1]DEKK AKMERKEZ'!O219</f>
        <v>5</v>
      </c>
      <c r="R431" s="126"/>
      <c r="S431" s="126"/>
      <c r="T431" s="126">
        <f>+'[1]DEKK AKMERKEZ'!R219</f>
        <v>5</v>
      </c>
      <c r="U431" s="126"/>
      <c r="V431" s="126"/>
      <c r="W431" s="126">
        <f>+'[1]DEKK AKMERKEZ'!U219</f>
        <v>5.0999999999999996</v>
      </c>
      <c r="X431" s="126"/>
      <c r="Y431" s="126"/>
      <c r="Z431" s="126">
        <f>+'[1]DEKK AKMERKEZ'!X219</f>
        <v>0</v>
      </c>
      <c r="AA431" s="126"/>
      <c r="AB431" s="126"/>
      <c r="AC431" s="126">
        <f>+'[1]DEKK AKMERKEZ'!AA219</f>
        <v>0</v>
      </c>
      <c r="AD431" s="126"/>
      <c r="AE431" s="126"/>
      <c r="AF431" s="126">
        <f>+'[1]DEKK AKMERKEZ'!AD219</f>
        <v>0</v>
      </c>
      <c r="AG431" s="126"/>
      <c r="AH431" s="126"/>
      <c r="AI431" s="126">
        <f>+'[1]DEKK AKMERKEZ'!AG219</f>
        <v>0</v>
      </c>
      <c r="AJ431" s="127"/>
      <c r="AK431" s="127"/>
      <c r="AL431" s="128">
        <f>+'[1]DEKK AKMERKEZ'!AJ219</f>
        <v>0</v>
      </c>
    </row>
    <row r="432" spans="1:38" x14ac:dyDescent="0.25">
      <c r="A432" s="85" t="s">
        <v>71</v>
      </c>
      <c r="B432" s="32" t="s">
        <v>73</v>
      </c>
      <c r="C432" s="33" t="s">
        <v>30</v>
      </c>
      <c r="D432" s="34" t="s">
        <v>29</v>
      </c>
      <c r="E432" s="129">
        <f>+'[1]DEKK AKMERKEZ'!C220</f>
        <v>0</v>
      </c>
      <c r="F432" s="130"/>
      <c r="G432" s="130"/>
      <c r="H432" s="131">
        <f>+'[1]DEKK AKMERKEZ'!F220</f>
        <v>0</v>
      </c>
      <c r="I432" s="131"/>
      <c r="J432" s="131"/>
      <c r="K432" s="131">
        <f>+'[1]DEKK AKMERKEZ'!I220</f>
        <v>0</v>
      </c>
      <c r="L432" s="131"/>
      <c r="M432" s="131"/>
      <c r="N432" s="131">
        <f>+'[1]DEKK AKMERKEZ'!L220</f>
        <v>0</v>
      </c>
      <c r="O432" s="131"/>
      <c r="P432" s="131"/>
      <c r="Q432" s="131">
        <f>+'[1]DEKK AKMERKEZ'!O220</f>
        <v>0</v>
      </c>
      <c r="R432" s="131"/>
      <c r="S432" s="131"/>
      <c r="T432" s="131">
        <f>+'[1]DEKK AKMERKEZ'!R220</f>
        <v>0</v>
      </c>
      <c r="U432" s="131"/>
      <c r="V432" s="131"/>
      <c r="W432" s="131">
        <f>+'[1]DEKK AKMERKEZ'!U220</f>
        <v>0</v>
      </c>
      <c r="X432" s="131"/>
      <c r="Y432" s="131"/>
      <c r="Z432" s="131">
        <f>+'[1]DEKK AKMERKEZ'!X220</f>
        <v>0</v>
      </c>
      <c r="AA432" s="131"/>
      <c r="AB432" s="131"/>
      <c r="AC432" s="131">
        <f>+'[1]DEKK AKMERKEZ'!AA220</f>
        <v>0</v>
      </c>
      <c r="AD432" s="131"/>
      <c r="AE432" s="131"/>
      <c r="AF432" s="131">
        <f>+'[1]DEKK AKMERKEZ'!AD220</f>
        <v>0</v>
      </c>
      <c r="AG432" s="131"/>
      <c r="AH432" s="131"/>
      <c r="AI432" s="131">
        <f>+'[1]DEKK AKMERKEZ'!AG220</f>
        <v>0</v>
      </c>
      <c r="AJ432" s="132"/>
      <c r="AK432" s="132"/>
      <c r="AL432" s="133">
        <f>+'[1]DEKK AKMERKEZ'!AJ220</f>
        <v>0</v>
      </c>
    </row>
    <row r="433" spans="1:38" x14ac:dyDescent="0.25">
      <c r="A433" s="85" t="s">
        <v>71</v>
      </c>
      <c r="B433" s="32" t="s">
        <v>73</v>
      </c>
      <c r="C433" s="33" t="s">
        <v>31</v>
      </c>
      <c r="D433" s="34" t="s">
        <v>29</v>
      </c>
      <c r="E433" s="129">
        <f>+'[1]DEKK AKMERKEZ'!C221</f>
        <v>0</v>
      </c>
      <c r="F433" s="130"/>
      <c r="G433" s="130"/>
      <c r="H433" s="131">
        <f>+'[1]DEKK AKMERKEZ'!F221</f>
        <v>0</v>
      </c>
      <c r="I433" s="131"/>
      <c r="J433" s="131"/>
      <c r="K433" s="131">
        <f>+'[1]DEKK AKMERKEZ'!I221</f>
        <v>0</v>
      </c>
      <c r="L433" s="131"/>
      <c r="M433" s="131"/>
      <c r="N433" s="131">
        <f>+'[1]DEKK AKMERKEZ'!L221</f>
        <v>0</v>
      </c>
      <c r="O433" s="131"/>
      <c r="P433" s="131"/>
      <c r="Q433" s="131">
        <f>+'[1]DEKK AKMERKEZ'!O221</f>
        <v>0</v>
      </c>
      <c r="R433" s="131"/>
      <c r="S433" s="131"/>
      <c r="T433" s="131">
        <f>+'[1]DEKK AKMERKEZ'!R221</f>
        <v>0</v>
      </c>
      <c r="U433" s="131"/>
      <c r="V433" s="131"/>
      <c r="W433" s="131">
        <f>+'[1]DEKK AKMERKEZ'!U221</f>
        <v>0</v>
      </c>
      <c r="X433" s="131"/>
      <c r="Y433" s="131"/>
      <c r="Z433" s="131">
        <f>+'[1]DEKK AKMERKEZ'!X221</f>
        <v>0</v>
      </c>
      <c r="AA433" s="131"/>
      <c r="AB433" s="131"/>
      <c r="AC433" s="131">
        <f>+'[1]DEKK AKMERKEZ'!AA221</f>
        <v>0</v>
      </c>
      <c r="AD433" s="131"/>
      <c r="AE433" s="131"/>
      <c r="AF433" s="131">
        <f>+'[1]DEKK AKMERKEZ'!AD221</f>
        <v>0</v>
      </c>
      <c r="AG433" s="131"/>
      <c r="AH433" s="131"/>
      <c r="AI433" s="131">
        <f>+'[1]DEKK AKMERKEZ'!AG221</f>
        <v>0</v>
      </c>
      <c r="AJ433" s="132"/>
      <c r="AK433" s="132"/>
      <c r="AL433" s="133">
        <f>+'[1]DEKK AKMERKEZ'!AJ221</f>
        <v>0</v>
      </c>
    </row>
    <row r="434" spans="1:38" x14ac:dyDescent="0.25">
      <c r="A434" s="85" t="s">
        <v>71</v>
      </c>
      <c r="B434" s="32" t="s">
        <v>73</v>
      </c>
      <c r="C434" s="33" t="s">
        <v>32</v>
      </c>
      <c r="D434" s="34" t="s">
        <v>29</v>
      </c>
      <c r="E434" s="129">
        <f>+'[1]DEKK AKMERKEZ'!C222</f>
        <v>0</v>
      </c>
      <c r="F434" s="130"/>
      <c r="G434" s="130"/>
      <c r="H434" s="131">
        <f>+'[1]DEKK AKMERKEZ'!F222</f>
        <v>0</v>
      </c>
      <c r="I434" s="131"/>
      <c r="J434" s="131"/>
      <c r="K434" s="131">
        <f>+'[1]DEKK AKMERKEZ'!I222</f>
        <v>0</v>
      </c>
      <c r="L434" s="131"/>
      <c r="M434" s="131"/>
      <c r="N434" s="131">
        <f>+'[1]DEKK AKMERKEZ'!L222</f>
        <v>0</v>
      </c>
      <c r="O434" s="131"/>
      <c r="P434" s="131"/>
      <c r="Q434" s="131">
        <f>+'[1]DEKK AKMERKEZ'!O222</f>
        <v>0</v>
      </c>
      <c r="R434" s="131"/>
      <c r="S434" s="131"/>
      <c r="T434" s="131">
        <f>+'[1]DEKK AKMERKEZ'!R222</f>
        <v>0</v>
      </c>
      <c r="U434" s="131"/>
      <c r="V434" s="131"/>
      <c r="W434" s="131">
        <f>+'[1]DEKK AKMERKEZ'!U222</f>
        <v>0</v>
      </c>
      <c r="X434" s="131"/>
      <c r="Y434" s="131"/>
      <c r="Z434" s="131">
        <f>+'[1]DEKK AKMERKEZ'!X222</f>
        <v>0</v>
      </c>
      <c r="AA434" s="131"/>
      <c r="AB434" s="131"/>
      <c r="AC434" s="131">
        <f>+'[1]DEKK AKMERKEZ'!AA222</f>
        <v>0</v>
      </c>
      <c r="AD434" s="131"/>
      <c r="AE434" s="131"/>
      <c r="AF434" s="131">
        <f>+'[1]DEKK AKMERKEZ'!AD222</f>
        <v>0</v>
      </c>
      <c r="AG434" s="131"/>
      <c r="AH434" s="131"/>
      <c r="AI434" s="131">
        <f>+'[1]DEKK AKMERKEZ'!AG222</f>
        <v>0</v>
      </c>
      <c r="AJ434" s="132"/>
      <c r="AK434" s="132"/>
      <c r="AL434" s="133">
        <f>+'[1]DEKK AKMERKEZ'!AJ222</f>
        <v>0</v>
      </c>
    </row>
    <row r="435" spans="1:38" x14ac:dyDescent="0.25">
      <c r="A435" s="85" t="s">
        <v>71</v>
      </c>
      <c r="B435" s="32" t="s">
        <v>73</v>
      </c>
      <c r="C435" s="33" t="s">
        <v>33</v>
      </c>
      <c r="D435" s="34" t="s">
        <v>29</v>
      </c>
      <c r="E435" s="129">
        <f>SUM(E431:E434)</f>
        <v>5</v>
      </c>
      <c r="F435" s="130"/>
      <c r="G435" s="130"/>
      <c r="H435" s="129">
        <f>SUM(H431:H434)</f>
        <v>5</v>
      </c>
      <c r="I435" s="131"/>
      <c r="J435" s="131"/>
      <c r="K435" s="129">
        <f>SUM(K431:K434)</f>
        <v>5</v>
      </c>
      <c r="L435" s="131"/>
      <c r="M435" s="131"/>
      <c r="N435" s="129">
        <f>SUM(N431:N434)</f>
        <v>5</v>
      </c>
      <c r="O435" s="131"/>
      <c r="P435" s="131"/>
      <c r="Q435" s="129">
        <f>SUM(Q431:Q434)</f>
        <v>5</v>
      </c>
      <c r="R435" s="131"/>
      <c r="S435" s="131"/>
      <c r="T435" s="129">
        <f>SUM(T431:T434)</f>
        <v>5</v>
      </c>
      <c r="U435" s="131"/>
      <c r="V435" s="131"/>
      <c r="W435" s="129">
        <f>SUM(W431:W434)</f>
        <v>5.0999999999999996</v>
      </c>
      <c r="X435" s="131"/>
      <c r="Y435" s="131"/>
      <c r="Z435" s="129">
        <f>SUM(Z431:Z434)</f>
        <v>0</v>
      </c>
      <c r="AA435" s="131"/>
      <c r="AB435" s="131"/>
      <c r="AC435" s="129">
        <f>SUM(AC431:AC434)</f>
        <v>0</v>
      </c>
      <c r="AD435" s="131"/>
      <c r="AE435" s="131"/>
      <c r="AF435" s="129">
        <f>SUM(AF431:AF434)</f>
        <v>0</v>
      </c>
      <c r="AG435" s="131"/>
      <c r="AH435" s="131"/>
      <c r="AI435" s="129">
        <f>SUM(AI431:AI434)</f>
        <v>0</v>
      </c>
      <c r="AJ435" s="132"/>
      <c r="AK435" s="132"/>
      <c r="AL435" s="134">
        <f>SUM(AL431:AL434)</f>
        <v>0</v>
      </c>
    </row>
    <row r="436" spans="1:38" x14ac:dyDescent="0.25">
      <c r="A436" s="85" t="s">
        <v>71</v>
      </c>
      <c r="B436" s="32" t="s">
        <v>73</v>
      </c>
      <c r="C436" s="33" t="s">
        <v>34</v>
      </c>
      <c r="D436" s="34" t="s">
        <v>23</v>
      </c>
      <c r="E436" s="35">
        <f>+'[1]DEKK AKMERKEZ'!C226+'[1]DEKK AKMERKEZ'!C227+'[1]DEKK AKMERKEZ'!C228+'[1]DEKK AKMERKEZ'!C229</f>
        <v>388149.19588752091</v>
      </c>
      <c r="F436" s="36"/>
      <c r="G436" s="36"/>
      <c r="H436" s="35">
        <f>+'[1]DEKK AKMERKEZ'!F226+'[1]DEKK AKMERKEZ'!F227+'[1]DEKK AKMERKEZ'!F228+'[1]DEKK AKMERKEZ'!F229</f>
        <v>381161.9720467056</v>
      </c>
      <c r="I436" s="18"/>
      <c r="J436" s="18"/>
      <c r="K436" s="35">
        <f>+'[1]DEKK AKMERKEZ'!I226+'[1]DEKK AKMERKEZ'!I227+'[1]DEKK AKMERKEZ'!I228+'[1]DEKK AKMERKEZ'!I229</f>
        <v>411897.64000000007</v>
      </c>
      <c r="L436" s="18"/>
      <c r="M436" s="18"/>
      <c r="N436" s="35">
        <f>+'[1]DEKK AKMERKEZ'!L226+'[1]DEKK AKMERKEZ'!L227+'[1]DEKK AKMERKEZ'!L228+'[1]DEKK AKMERKEZ'!L229</f>
        <v>407385.20999999996</v>
      </c>
      <c r="O436" s="18"/>
      <c r="P436" s="18"/>
      <c r="Q436" s="35">
        <f>+'[1]DEKK AKMERKEZ'!O226+'[1]DEKK AKMERKEZ'!O227+'[1]DEKK AKMERKEZ'!O228+'[1]DEKK AKMERKEZ'!O229</f>
        <v>460239.75</v>
      </c>
      <c r="R436" s="18"/>
      <c r="S436" s="18"/>
      <c r="T436" s="35">
        <f>+'[1]DEKK AKMERKEZ'!R226+'[1]DEKK AKMERKEZ'!R227+'[1]DEKK AKMERKEZ'!R228+'[1]DEKK AKMERKEZ'!R229</f>
        <v>482557.24275890941</v>
      </c>
      <c r="U436" s="18"/>
      <c r="V436" s="18"/>
      <c r="W436" s="35">
        <f>+'[1]DEKK AKMERKEZ'!U226+'[1]DEKK AKMERKEZ'!U227+'[1]DEKK AKMERKEZ'!U228+'[1]DEKK AKMERKEZ'!U229</f>
        <v>531232.93000000005</v>
      </c>
      <c r="X436" s="18"/>
      <c r="Y436" s="18"/>
      <c r="Z436" s="35">
        <f>+'[1]DEKK AKMERKEZ'!X226+'[1]DEKK AKMERKEZ'!X227+'[1]DEKK AKMERKEZ'!X228+'[1]DEKK AKMERKEZ'!X229</f>
        <v>0</v>
      </c>
      <c r="AA436" s="18"/>
      <c r="AB436" s="18"/>
      <c r="AC436" s="35">
        <f>+'[1]DEKK AKMERKEZ'!AA226+'[1]DEKK AKMERKEZ'!AA227+'[1]DEKK AKMERKEZ'!AA228+'[1]DEKK AKMERKEZ'!AA229</f>
        <v>0</v>
      </c>
      <c r="AD436" s="18"/>
      <c r="AE436" s="18"/>
      <c r="AF436" s="35">
        <f>+'[1]DEKK AKMERKEZ'!AD226+'[1]DEKK AKMERKEZ'!AD227+'[1]DEKK AKMERKEZ'!AD228+'[1]DEKK AKMERKEZ'!AD229</f>
        <v>0</v>
      </c>
      <c r="AG436" s="18"/>
      <c r="AH436" s="18"/>
      <c r="AI436" s="35">
        <f>+'[1]DEKK AKMERKEZ'!AG226+'[1]DEKK AKMERKEZ'!AG227+'[1]DEKK AKMERKEZ'!AG228+'[1]DEKK AKMERKEZ'!AG229</f>
        <v>0</v>
      </c>
      <c r="AJ436" s="19"/>
      <c r="AK436" s="19"/>
      <c r="AL436" s="92">
        <f>+'[1]DEKK AKMERKEZ'!AJ226+'[1]DEKK AKMERKEZ'!AJ227+'[1]DEKK AKMERKEZ'!AJ228+'[1]DEKK AKMERKEZ'!AJ229</f>
        <v>0</v>
      </c>
    </row>
    <row r="437" spans="1:38" x14ac:dyDescent="0.25">
      <c r="A437" s="85" t="s">
        <v>71</v>
      </c>
      <c r="B437" s="32" t="s">
        <v>73</v>
      </c>
      <c r="C437" s="33" t="s">
        <v>35</v>
      </c>
      <c r="D437" s="34" t="s">
        <v>23</v>
      </c>
      <c r="E437" s="35">
        <f>+'[1]DEKK AKMERKEZ'!C230</f>
        <v>0</v>
      </c>
      <c r="F437" s="36"/>
      <c r="G437" s="36"/>
      <c r="H437" s="35">
        <f>+'[1]DEKK AKMERKEZ'!F230</f>
        <v>0</v>
      </c>
      <c r="I437" s="18"/>
      <c r="J437" s="18"/>
      <c r="K437" s="35">
        <f>+'[1]DEKK AKMERKEZ'!I230</f>
        <v>0</v>
      </c>
      <c r="L437" s="18"/>
      <c r="M437" s="18"/>
      <c r="N437" s="35">
        <f>+'[1]DEKK AKMERKEZ'!L230</f>
        <v>0</v>
      </c>
      <c r="O437" s="18"/>
      <c r="P437" s="18"/>
      <c r="Q437" s="35">
        <f>+'[1]DEKK AKMERKEZ'!O230</f>
        <v>0</v>
      </c>
      <c r="R437" s="18"/>
      <c r="S437" s="18"/>
      <c r="T437" s="35">
        <f>+'[1]DEKK AKMERKEZ'!R230</f>
        <v>0</v>
      </c>
      <c r="U437" s="18"/>
      <c r="V437" s="18"/>
      <c r="W437" s="35">
        <f>+'[1]DEKK AKMERKEZ'!U230</f>
        <v>0</v>
      </c>
      <c r="X437" s="18"/>
      <c r="Y437" s="18"/>
      <c r="Z437" s="35">
        <f>+'[1]DEKK AKMERKEZ'!X230</f>
        <v>0</v>
      </c>
      <c r="AA437" s="18"/>
      <c r="AB437" s="18"/>
      <c r="AC437" s="35">
        <f>+'[1]DEKK AKMERKEZ'!AA230</f>
        <v>0</v>
      </c>
      <c r="AD437" s="18"/>
      <c r="AE437" s="18"/>
      <c r="AF437" s="35">
        <f>+'[1]DEKK AKMERKEZ'!AD230</f>
        <v>0</v>
      </c>
      <c r="AG437" s="18"/>
      <c r="AH437" s="18"/>
      <c r="AI437" s="35">
        <f>+'[1]DEKK AKMERKEZ'!AG230</f>
        <v>0</v>
      </c>
      <c r="AJ437" s="19"/>
      <c r="AK437" s="19"/>
      <c r="AL437" s="92">
        <f>+'[1]DEKK AKMERKEZ'!AJ230</f>
        <v>0</v>
      </c>
    </row>
    <row r="438" spans="1:38" x14ac:dyDescent="0.25">
      <c r="A438" s="85" t="s">
        <v>71</v>
      </c>
      <c r="B438" s="32" t="s">
        <v>73</v>
      </c>
      <c r="C438" s="33" t="s">
        <v>36</v>
      </c>
      <c r="D438" s="34" t="s">
        <v>23</v>
      </c>
      <c r="E438" s="35">
        <f>+'[1]DEKK AKMERKEZ'!C231</f>
        <v>0</v>
      </c>
      <c r="F438" s="36"/>
      <c r="G438" s="36"/>
      <c r="H438" s="35">
        <f>+'[1]DEKK AKMERKEZ'!F231</f>
        <v>0</v>
      </c>
      <c r="I438" s="18"/>
      <c r="J438" s="18"/>
      <c r="K438" s="35">
        <f>+'[1]DEKK AKMERKEZ'!I231</f>
        <v>0</v>
      </c>
      <c r="L438" s="18"/>
      <c r="M438" s="18"/>
      <c r="N438" s="35">
        <f>+'[1]DEKK AKMERKEZ'!L231</f>
        <v>0</v>
      </c>
      <c r="O438" s="18"/>
      <c r="P438" s="18"/>
      <c r="Q438" s="35">
        <f>+'[1]DEKK AKMERKEZ'!O231</f>
        <v>0</v>
      </c>
      <c r="R438" s="18"/>
      <c r="S438" s="18"/>
      <c r="T438" s="35">
        <f>+'[1]DEKK AKMERKEZ'!R231</f>
        <v>0</v>
      </c>
      <c r="U438" s="18"/>
      <c r="V438" s="18"/>
      <c r="W438" s="35">
        <f>+'[1]DEKK AKMERKEZ'!U231</f>
        <v>0</v>
      </c>
      <c r="X438" s="18"/>
      <c r="Y438" s="18"/>
      <c r="Z438" s="35">
        <f>+'[1]DEKK AKMERKEZ'!X231</f>
        <v>0</v>
      </c>
      <c r="AA438" s="18"/>
      <c r="AB438" s="18"/>
      <c r="AC438" s="35">
        <f>+'[1]DEKK AKMERKEZ'!AA231</f>
        <v>0</v>
      </c>
      <c r="AD438" s="18"/>
      <c r="AE438" s="18"/>
      <c r="AF438" s="35">
        <f>+'[1]DEKK AKMERKEZ'!AD231</f>
        <v>0</v>
      </c>
      <c r="AG438" s="18"/>
      <c r="AH438" s="18"/>
      <c r="AI438" s="35">
        <f>+'[1]DEKK AKMERKEZ'!AG231</f>
        <v>0</v>
      </c>
      <c r="AJ438" s="19"/>
      <c r="AK438" s="19"/>
      <c r="AL438" s="92">
        <f>+'[1]DEKK AKMERKEZ'!AJ231</f>
        <v>0</v>
      </c>
    </row>
    <row r="439" spans="1:38" x14ac:dyDescent="0.25">
      <c r="A439" s="85" t="s">
        <v>71</v>
      </c>
      <c r="B439" s="32" t="s">
        <v>73</v>
      </c>
      <c r="C439" s="33" t="s">
        <v>37</v>
      </c>
      <c r="D439" s="34" t="s">
        <v>23</v>
      </c>
      <c r="E439" s="37">
        <f>SUM(E436:E438)</f>
        <v>388149.19588752091</v>
      </c>
      <c r="F439" s="38"/>
      <c r="G439" s="38"/>
      <c r="H439" s="37">
        <f>SUM(H436:H438)</f>
        <v>381161.9720467056</v>
      </c>
      <c r="I439" s="39"/>
      <c r="J439" s="39"/>
      <c r="K439" s="37">
        <f>SUM(K436:K438)</f>
        <v>411897.64000000007</v>
      </c>
      <c r="L439" s="39"/>
      <c r="M439" s="39"/>
      <c r="N439" s="37">
        <f>SUM(N436:N438)</f>
        <v>407385.20999999996</v>
      </c>
      <c r="O439" s="39"/>
      <c r="P439" s="39"/>
      <c r="Q439" s="37">
        <f>SUM(Q436:Q438)</f>
        <v>460239.75</v>
      </c>
      <c r="R439" s="39"/>
      <c r="S439" s="39"/>
      <c r="T439" s="37">
        <f>SUM(T436:T438)</f>
        <v>482557.24275890941</v>
      </c>
      <c r="U439" s="39"/>
      <c r="V439" s="39"/>
      <c r="W439" s="37">
        <f>SUM(W436:W438)</f>
        <v>531232.93000000005</v>
      </c>
      <c r="X439" s="39"/>
      <c r="Y439" s="39"/>
      <c r="Z439" s="37">
        <f>SUM(Z436:Z438)</f>
        <v>0</v>
      </c>
      <c r="AA439" s="39"/>
      <c r="AB439" s="39"/>
      <c r="AC439" s="37">
        <f>SUM(AC436:AC438)</f>
        <v>0</v>
      </c>
      <c r="AD439" s="39"/>
      <c r="AE439" s="39"/>
      <c r="AF439" s="37">
        <f>SUM(AF436:AF438)</f>
        <v>0</v>
      </c>
      <c r="AG439" s="39"/>
      <c r="AH439" s="39"/>
      <c r="AI439" s="37">
        <f>SUM(AI436:AI438)</f>
        <v>0</v>
      </c>
      <c r="AJ439" s="40"/>
      <c r="AK439" s="40"/>
      <c r="AL439" s="93">
        <f>SUM(AL436:AL438)</f>
        <v>0</v>
      </c>
    </row>
    <row r="440" spans="1:38" x14ac:dyDescent="0.25">
      <c r="A440" s="73" t="s">
        <v>71</v>
      </c>
      <c r="B440" s="6" t="s">
        <v>73</v>
      </c>
      <c r="C440" s="7" t="s">
        <v>38</v>
      </c>
      <c r="D440" s="8" t="s">
        <v>23</v>
      </c>
      <c r="E440" s="28">
        <f>IFERROR(E439/E435,0)</f>
        <v>77629.839177504182</v>
      </c>
      <c r="F440" s="29"/>
      <c r="G440" s="29"/>
      <c r="H440" s="28">
        <f>IFERROR(H439/H435,0)</f>
        <v>76232.394409341126</v>
      </c>
      <c r="I440" s="30"/>
      <c r="J440" s="30"/>
      <c r="K440" s="28">
        <f>IFERROR(K439/K435,0)</f>
        <v>82379.52800000002</v>
      </c>
      <c r="L440" s="30"/>
      <c r="M440" s="30"/>
      <c r="N440" s="28">
        <f>IFERROR(N439/N435,0)</f>
        <v>81477.041999999987</v>
      </c>
      <c r="O440" s="30"/>
      <c r="P440" s="30"/>
      <c r="Q440" s="28">
        <f>IFERROR(Q439/Q435,0)</f>
        <v>92047.95</v>
      </c>
      <c r="R440" s="30"/>
      <c r="S440" s="30"/>
      <c r="T440" s="28">
        <f>IFERROR(T439/T435,0)</f>
        <v>96511.448551781883</v>
      </c>
      <c r="U440" s="30"/>
      <c r="V440" s="30"/>
      <c r="W440" s="28">
        <f>IFERROR(W439/W435,0)</f>
        <v>104163.31960784315</v>
      </c>
      <c r="X440" s="30"/>
      <c r="Y440" s="30"/>
      <c r="Z440" s="28">
        <f>IFERROR(Z439/Z435,0)</f>
        <v>0</v>
      </c>
      <c r="AA440" s="30"/>
      <c r="AB440" s="30"/>
      <c r="AC440" s="28">
        <f>IFERROR(AC439/AC435,0)</f>
        <v>0</v>
      </c>
      <c r="AD440" s="30"/>
      <c r="AE440" s="30"/>
      <c r="AF440" s="28">
        <f>IFERROR(AF439/AF435,0)</f>
        <v>0</v>
      </c>
      <c r="AG440" s="30"/>
      <c r="AH440" s="30"/>
      <c r="AI440" s="28">
        <f>IFERROR(AI439/AI435,0)</f>
        <v>0</v>
      </c>
      <c r="AJ440" s="31"/>
      <c r="AK440" s="31"/>
      <c r="AL440" s="94">
        <f>IFERROR(AL439/AL435,0)</f>
        <v>0</v>
      </c>
    </row>
    <row r="441" spans="1:38" x14ac:dyDescent="0.25">
      <c r="A441" s="73" t="s">
        <v>71</v>
      </c>
      <c r="B441" s="6" t="s">
        <v>73</v>
      </c>
      <c r="C441" s="7" t="s">
        <v>39</v>
      </c>
      <c r="D441" s="8" t="s">
        <v>23</v>
      </c>
      <c r="E441" s="41">
        <f>+'[1]DEKK AKMERKEZ'!C255</f>
        <v>0</v>
      </c>
      <c r="F441" s="42"/>
      <c r="G441" s="42"/>
      <c r="H441" s="43">
        <f>+'[1]DEKK AKMERKEZ'!F255</f>
        <v>9073</v>
      </c>
      <c r="I441" s="43"/>
      <c r="J441" s="43"/>
      <c r="K441" s="43">
        <f>+'[1]DEKK AKMERKEZ'!I255</f>
        <v>9363.56</v>
      </c>
      <c r="L441" s="43"/>
      <c r="M441" s="43"/>
      <c r="N441" s="43">
        <f>+'[1]DEKK AKMERKEZ'!L255</f>
        <v>16092.43</v>
      </c>
      <c r="O441" s="43"/>
      <c r="P441" s="43"/>
      <c r="Q441" s="43">
        <f>+'[1]DEKK AKMERKEZ'!O255</f>
        <v>16518.27</v>
      </c>
      <c r="R441" s="43"/>
      <c r="S441" s="43"/>
      <c r="T441" s="43">
        <f>+'[1]DEKK AKMERKEZ'!R255</f>
        <v>24348.93</v>
      </c>
      <c r="U441" s="43"/>
      <c r="V441" s="43"/>
      <c r="W441" s="43">
        <f>+'[1]DEKK AKMERKEZ'!U255</f>
        <v>17982.900000000001</v>
      </c>
      <c r="X441" s="43"/>
      <c r="Y441" s="43"/>
      <c r="Z441" s="43">
        <f>+'[1]DEKK AKMERKEZ'!X255</f>
        <v>0</v>
      </c>
      <c r="AA441" s="43"/>
      <c r="AB441" s="43"/>
      <c r="AC441" s="43">
        <f>+'[1]DEKK AKMERKEZ'!AA255</f>
        <v>0</v>
      </c>
      <c r="AD441" s="43"/>
      <c r="AE441" s="43"/>
      <c r="AF441" s="43">
        <f>+'[1]DEKK AKMERKEZ'!AD255</f>
        <v>0</v>
      </c>
      <c r="AG441" s="43"/>
      <c r="AH441" s="43"/>
      <c r="AI441" s="43">
        <f>+'[1]DEKK AKMERKEZ'!AG255</f>
        <v>0</v>
      </c>
      <c r="AJ441" s="44"/>
      <c r="AK441" s="44"/>
      <c r="AL441" s="95">
        <f>+'[1]DEKK AKMERKEZ'!AJ255</f>
        <v>0</v>
      </c>
    </row>
    <row r="442" spans="1:38" x14ac:dyDescent="0.25">
      <c r="A442" s="73" t="s">
        <v>71</v>
      </c>
      <c r="B442" s="6" t="s">
        <v>73</v>
      </c>
      <c r="C442" s="7" t="s">
        <v>40</v>
      </c>
      <c r="D442" s="34" t="s">
        <v>23</v>
      </c>
      <c r="E442" s="45">
        <f>+'[1]DEKK AKMERKEZ'!C256</f>
        <v>26629.22</v>
      </c>
      <c r="F442" s="46"/>
      <c r="G442" s="46"/>
      <c r="H442" s="47">
        <f>+'[1]DEKK AKMERKEZ'!F256</f>
        <v>25746.460000000003</v>
      </c>
      <c r="I442" s="47"/>
      <c r="J442" s="47"/>
      <c r="K442" s="47">
        <f>+'[1]DEKK AKMERKEZ'!I256</f>
        <v>3013.35</v>
      </c>
      <c r="L442" s="47"/>
      <c r="M442" s="47"/>
      <c r="N442" s="47">
        <f>+'[1]DEKK AKMERKEZ'!L256</f>
        <v>2953.78</v>
      </c>
      <c r="O442" s="47"/>
      <c r="P442" s="47"/>
      <c r="Q442" s="47">
        <f>+'[1]DEKK AKMERKEZ'!O256</f>
        <v>1193.54</v>
      </c>
      <c r="R442" s="47"/>
      <c r="S442" s="47"/>
      <c r="T442" s="47">
        <f>+'[1]DEKK AKMERKEZ'!R256</f>
        <v>213.33</v>
      </c>
      <c r="U442" s="47"/>
      <c r="V442" s="47"/>
      <c r="W442" s="47">
        <f>+'[1]DEKK AKMERKEZ'!U256</f>
        <v>0</v>
      </c>
      <c r="X442" s="47"/>
      <c r="Y442" s="47"/>
      <c r="Z442" s="47">
        <f>+'[1]DEKK AKMERKEZ'!X256</f>
        <v>0</v>
      </c>
      <c r="AA442" s="47"/>
      <c r="AB442" s="47"/>
      <c r="AC442" s="47">
        <f>+'[1]DEKK AKMERKEZ'!AA256</f>
        <v>0</v>
      </c>
      <c r="AD442" s="47"/>
      <c r="AE442" s="47"/>
      <c r="AF442" s="47">
        <f>+'[1]DEKK AKMERKEZ'!AD256</f>
        <v>0</v>
      </c>
      <c r="AG442" s="47"/>
      <c r="AH442" s="47"/>
      <c r="AI442" s="47">
        <f>+'[1]DEKK AKMERKEZ'!AG256</f>
        <v>0</v>
      </c>
      <c r="AJ442" s="48"/>
      <c r="AK442" s="48"/>
      <c r="AL442" s="96">
        <f>+'[1]DEKK AKMERKEZ'!AJ256</f>
        <v>0</v>
      </c>
    </row>
    <row r="443" spans="1:38" x14ac:dyDescent="0.25">
      <c r="A443" s="73" t="s">
        <v>71</v>
      </c>
      <c r="B443" s="6" t="s">
        <v>73</v>
      </c>
      <c r="C443" s="7" t="s">
        <v>41</v>
      </c>
      <c r="D443" s="34" t="s">
        <v>23</v>
      </c>
      <c r="E443" s="45">
        <f>+'[1]DEKK AKMERKEZ'!C257</f>
        <v>2622.2000000000003</v>
      </c>
      <c r="F443" s="46"/>
      <c r="G443" s="46"/>
      <c r="H443" s="47">
        <f>+'[1]DEKK AKMERKEZ'!F257</f>
        <v>3262.4700000000003</v>
      </c>
      <c r="I443" s="47"/>
      <c r="J443" s="47"/>
      <c r="K443" s="47">
        <f>+'[1]DEKK AKMERKEZ'!I257</f>
        <v>2379.48</v>
      </c>
      <c r="L443" s="47"/>
      <c r="M443" s="47"/>
      <c r="N443" s="47">
        <f>+'[1]DEKK AKMERKEZ'!L257</f>
        <v>3449.13</v>
      </c>
      <c r="O443" s="47"/>
      <c r="P443" s="47"/>
      <c r="Q443" s="47">
        <f>+'[1]DEKK AKMERKEZ'!O257</f>
        <v>3755.16</v>
      </c>
      <c r="R443" s="47"/>
      <c r="S443" s="47"/>
      <c r="T443" s="47">
        <f>+'[1]DEKK AKMERKEZ'!R257</f>
        <v>4725.38</v>
      </c>
      <c r="U443" s="47"/>
      <c r="V443" s="47"/>
      <c r="W443" s="47">
        <f>+'[1]DEKK AKMERKEZ'!U257</f>
        <v>5039.99</v>
      </c>
      <c r="X443" s="47"/>
      <c r="Y443" s="47"/>
      <c r="Z443" s="47">
        <f>+'[1]DEKK AKMERKEZ'!X257</f>
        <v>0</v>
      </c>
      <c r="AA443" s="47"/>
      <c r="AB443" s="47"/>
      <c r="AC443" s="47">
        <f>+'[1]DEKK AKMERKEZ'!AA257</f>
        <v>0</v>
      </c>
      <c r="AD443" s="47"/>
      <c r="AE443" s="47"/>
      <c r="AF443" s="47">
        <f>+'[1]DEKK AKMERKEZ'!AD257</f>
        <v>0</v>
      </c>
      <c r="AG443" s="47"/>
      <c r="AH443" s="47"/>
      <c r="AI443" s="47">
        <f>+'[1]DEKK AKMERKEZ'!AG257</f>
        <v>0</v>
      </c>
      <c r="AJ443" s="48"/>
      <c r="AK443" s="48"/>
      <c r="AL443" s="96">
        <f>+'[1]DEKK AKMERKEZ'!AJ257</f>
        <v>0</v>
      </c>
    </row>
    <row r="444" spans="1:38" x14ac:dyDescent="0.25">
      <c r="A444" s="73" t="s">
        <v>71</v>
      </c>
      <c r="B444" s="6" t="s">
        <v>73</v>
      </c>
      <c r="C444" s="7" t="s">
        <v>42</v>
      </c>
      <c r="D444" s="34" t="s">
        <v>43</v>
      </c>
      <c r="E444" s="97">
        <v>0</v>
      </c>
      <c r="F444" s="98"/>
      <c r="G444" s="98"/>
      <c r="H444" s="99">
        <v>0</v>
      </c>
      <c r="I444" s="99"/>
      <c r="J444" s="99"/>
      <c r="K444" s="99">
        <v>0</v>
      </c>
      <c r="L444" s="99"/>
      <c r="M444" s="99"/>
      <c r="N444" s="99">
        <v>0</v>
      </c>
      <c r="O444" s="99"/>
      <c r="P444" s="99"/>
      <c r="Q444" s="99">
        <v>0</v>
      </c>
      <c r="R444" s="99"/>
      <c r="S444" s="99"/>
      <c r="T444" s="99">
        <v>0</v>
      </c>
      <c r="U444" s="99"/>
      <c r="V444" s="99"/>
      <c r="W444" s="99">
        <v>0</v>
      </c>
      <c r="X444" s="99"/>
      <c r="Y444" s="99"/>
      <c r="Z444" s="99">
        <v>0</v>
      </c>
      <c r="AA444" s="99"/>
      <c r="AB444" s="99"/>
      <c r="AC444" s="99">
        <v>0</v>
      </c>
      <c r="AD444" s="99"/>
      <c r="AE444" s="99"/>
      <c r="AF444" s="99">
        <v>0</v>
      </c>
      <c r="AG444" s="99"/>
      <c r="AH444" s="99"/>
      <c r="AI444" s="99">
        <v>0</v>
      </c>
      <c r="AJ444" s="100"/>
      <c r="AK444" s="100"/>
      <c r="AL444" s="101">
        <v>0</v>
      </c>
    </row>
    <row r="445" spans="1:38" x14ac:dyDescent="0.25">
      <c r="A445" s="73" t="s">
        <v>71</v>
      </c>
      <c r="B445" s="6" t="s">
        <v>73</v>
      </c>
      <c r="C445" s="7" t="s">
        <v>44</v>
      </c>
      <c r="D445" s="34" t="s">
        <v>45</v>
      </c>
      <c r="E445" s="102">
        <v>0</v>
      </c>
      <c r="F445" s="103"/>
      <c r="G445" s="103"/>
      <c r="H445" s="104">
        <v>0</v>
      </c>
      <c r="I445" s="104"/>
      <c r="J445" s="104"/>
      <c r="K445" s="104">
        <v>0</v>
      </c>
      <c r="L445" s="104"/>
      <c r="M445" s="104"/>
      <c r="N445" s="104">
        <v>0</v>
      </c>
      <c r="O445" s="104"/>
      <c r="P445" s="104"/>
      <c r="Q445" s="104">
        <v>0</v>
      </c>
      <c r="R445" s="104"/>
      <c r="S445" s="104"/>
      <c r="T445" s="104">
        <v>0</v>
      </c>
      <c r="U445" s="104"/>
      <c r="V445" s="104"/>
      <c r="W445" s="104">
        <v>0</v>
      </c>
      <c r="X445" s="104"/>
      <c r="Y445" s="104"/>
      <c r="Z445" s="104">
        <v>0</v>
      </c>
      <c r="AA445" s="104"/>
      <c r="AB445" s="104"/>
      <c r="AC445" s="104">
        <v>0</v>
      </c>
      <c r="AD445" s="104"/>
      <c r="AE445" s="104"/>
      <c r="AF445" s="104">
        <v>0</v>
      </c>
      <c r="AG445" s="104"/>
      <c r="AH445" s="104"/>
      <c r="AI445" s="104">
        <v>0</v>
      </c>
      <c r="AJ445" s="105"/>
      <c r="AK445" s="105"/>
      <c r="AL445" s="106">
        <v>0</v>
      </c>
    </row>
    <row r="446" spans="1:38" x14ac:dyDescent="0.25">
      <c r="A446" s="73" t="s">
        <v>71</v>
      </c>
      <c r="B446" s="6" t="s">
        <v>73</v>
      </c>
      <c r="C446" s="7" t="s">
        <v>46</v>
      </c>
      <c r="D446" s="34" t="s">
        <v>45</v>
      </c>
      <c r="E446" s="107">
        <v>0</v>
      </c>
      <c r="F446" s="108"/>
      <c r="G446" s="108"/>
      <c r="H446" s="109">
        <v>0</v>
      </c>
      <c r="I446" s="109"/>
      <c r="J446" s="109"/>
      <c r="K446" s="109">
        <v>0</v>
      </c>
      <c r="L446" s="109"/>
      <c r="M446" s="109"/>
      <c r="N446" s="109">
        <v>0</v>
      </c>
      <c r="O446" s="109"/>
      <c r="P446" s="109"/>
      <c r="Q446" s="109">
        <v>0</v>
      </c>
      <c r="R446" s="109"/>
      <c r="S446" s="109"/>
      <c r="T446" s="109">
        <v>0</v>
      </c>
      <c r="U446" s="109"/>
      <c r="V446" s="109"/>
      <c r="W446" s="109">
        <v>0</v>
      </c>
      <c r="X446" s="109"/>
      <c r="Y446" s="109"/>
      <c r="Z446" s="109">
        <v>0</v>
      </c>
      <c r="AA446" s="109"/>
      <c r="AB446" s="109"/>
      <c r="AC446" s="109">
        <v>0</v>
      </c>
      <c r="AD446" s="109"/>
      <c r="AE446" s="109"/>
      <c r="AF446" s="109">
        <v>0</v>
      </c>
      <c r="AG446" s="109"/>
      <c r="AH446" s="109"/>
      <c r="AI446" s="109">
        <v>0</v>
      </c>
      <c r="AJ446" s="110"/>
      <c r="AK446" s="110"/>
      <c r="AL446" s="111">
        <v>0</v>
      </c>
    </row>
    <row r="447" spans="1:38" x14ac:dyDescent="0.25">
      <c r="A447" s="73" t="s">
        <v>71</v>
      </c>
      <c r="B447" s="6" t="s">
        <v>73</v>
      </c>
      <c r="C447" s="7" t="s">
        <v>47</v>
      </c>
      <c r="D447" s="8" t="s">
        <v>23</v>
      </c>
      <c r="E447" s="49">
        <f>IFERROR(+E441/E444,0)</f>
        <v>0</v>
      </c>
      <c r="F447" s="50"/>
      <c r="G447" s="50"/>
      <c r="H447" s="51">
        <f>IFERROR(+H441/H444,0)</f>
        <v>0</v>
      </c>
      <c r="I447" s="52"/>
      <c r="J447" s="52"/>
      <c r="K447" s="51">
        <f>IFERROR(+K441/K444,0)</f>
        <v>0</v>
      </c>
      <c r="L447" s="52"/>
      <c r="M447" s="52"/>
      <c r="N447" s="51">
        <f>IFERROR(+N441/N444,0)</f>
        <v>0</v>
      </c>
      <c r="O447" s="52"/>
      <c r="P447" s="52"/>
      <c r="Q447" s="51">
        <f>IFERROR(+Q441/Q444,0)</f>
        <v>0</v>
      </c>
      <c r="R447" s="52"/>
      <c r="S447" s="52"/>
      <c r="T447" s="51">
        <f>IFERROR(+T441/T444,0)</f>
        <v>0</v>
      </c>
      <c r="U447" s="52"/>
      <c r="V447" s="52"/>
      <c r="W447" s="51">
        <f>IFERROR(+W441/W444,0)</f>
        <v>0</v>
      </c>
      <c r="X447" s="52"/>
      <c r="Y447" s="52"/>
      <c r="Z447" s="51">
        <f>IFERROR(+Z441/Z444,0)</f>
        <v>0</v>
      </c>
      <c r="AA447" s="52"/>
      <c r="AB447" s="52"/>
      <c r="AC447" s="51">
        <f>IFERROR(+AC441/AC444,0)</f>
        <v>0</v>
      </c>
      <c r="AD447" s="52"/>
      <c r="AE447" s="52"/>
      <c r="AF447" s="51">
        <f>IFERROR(+AF441/AF444,0)</f>
        <v>0</v>
      </c>
      <c r="AG447" s="52"/>
      <c r="AH447" s="52"/>
      <c r="AI447" s="51">
        <f>IFERROR(+AI441/AI444,0)</f>
        <v>0</v>
      </c>
      <c r="AJ447" s="53"/>
      <c r="AK447" s="53"/>
      <c r="AL447" s="112">
        <f>IFERROR(+AL441/AL444,0)</f>
        <v>0</v>
      </c>
    </row>
    <row r="448" spans="1:38" x14ac:dyDescent="0.25">
      <c r="A448" s="73" t="s">
        <v>71</v>
      </c>
      <c r="B448" s="6" t="s">
        <v>73</v>
      </c>
      <c r="C448" s="7" t="s">
        <v>48</v>
      </c>
      <c r="D448" s="34" t="s">
        <v>23</v>
      </c>
      <c r="E448" s="49">
        <f>IFERROR(+E442/E445,0)</f>
        <v>0</v>
      </c>
      <c r="F448" s="50"/>
      <c r="G448" s="50"/>
      <c r="H448" s="51">
        <f>IFERROR(+H442/H445,0)</f>
        <v>0</v>
      </c>
      <c r="I448" s="52"/>
      <c r="J448" s="52"/>
      <c r="K448" s="51">
        <f>IFERROR(+K442/K445,0)</f>
        <v>0</v>
      </c>
      <c r="L448" s="52"/>
      <c r="M448" s="52"/>
      <c r="N448" s="51">
        <f>IFERROR(+N442/N445,0)</f>
        <v>0</v>
      </c>
      <c r="O448" s="52"/>
      <c r="P448" s="52"/>
      <c r="Q448" s="51">
        <f>IFERROR(+Q442/Q445,0)</f>
        <v>0</v>
      </c>
      <c r="R448" s="52"/>
      <c r="S448" s="52"/>
      <c r="T448" s="51">
        <f>IFERROR(+T442/T445,0)</f>
        <v>0</v>
      </c>
      <c r="U448" s="52"/>
      <c r="V448" s="52"/>
      <c r="W448" s="51">
        <f>IFERROR(+W442/W445,0)</f>
        <v>0</v>
      </c>
      <c r="X448" s="52"/>
      <c r="Y448" s="52"/>
      <c r="Z448" s="51">
        <f>IFERROR(+Z442/Z445,0)</f>
        <v>0</v>
      </c>
      <c r="AA448" s="52"/>
      <c r="AB448" s="52"/>
      <c r="AC448" s="51">
        <f>IFERROR(+AC442/AC445,0)</f>
        <v>0</v>
      </c>
      <c r="AD448" s="52"/>
      <c r="AE448" s="52"/>
      <c r="AF448" s="51">
        <f>IFERROR(+AF442/AF445,0)</f>
        <v>0</v>
      </c>
      <c r="AG448" s="52"/>
      <c r="AH448" s="52"/>
      <c r="AI448" s="51">
        <f>IFERROR(+AI442/AI445,0)</f>
        <v>0</v>
      </c>
      <c r="AJ448" s="53"/>
      <c r="AK448" s="53"/>
      <c r="AL448" s="112">
        <f>IFERROR(+AL442/AL445,0)</f>
        <v>0</v>
      </c>
    </row>
    <row r="449" spans="1:38" x14ac:dyDescent="0.25">
      <c r="A449" s="73" t="s">
        <v>71</v>
      </c>
      <c r="B449" s="6" t="s">
        <v>73</v>
      </c>
      <c r="C449" s="7" t="s">
        <v>49</v>
      </c>
      <c r="D449" s="34" t="s">
        <v>23</v>
      </c>
      <c r="E449" s="54">
        <f>IFERROR(+E443/E446,0)</f>
        <v>0</v>
      </c>
      <c r="F449" s="55"/>
      <c r="G449" s="55"/>
      <c r="H449" s="56">
        <f>IFERROR(+H443/H446,0)</f>
        <v>0</v>
      </c>
      <c r="I449" s="57"/>
      <c r="J449" s="57"/>
      <c r="K449" s="56">
        <f>IFERROR(+K443/K446,0)</f>
        <v>0</v>
      </c>
      <c r="L449" s="57"/>
      <c r="M449" s="57"/>
      <c r="N449" s="56">
        <f>IFERROR(+N443/N446,0)</f>
        <v>0</v>
      </c>
      <c r="O449" s="57"/>
      <c r="P449" s="57"/>
      <c r="Q449" s="56">
        <f>IFERROR(+Q443/Q446,0)</f>
        <v>0</v>
      </c>
      <c r="R449" s="57"/>
      <c r="S449" s="57"/>
      <c r="T449" s="56">
        <f>IFERROR(+T443/T446,0)</f>
        <v>0</v>
      </c>
      <c r="U449" s="57"/>
      <c r="V449" s="57"/>
      <c r="W449" s="56">
        <f>IFERROR(+W443/W446,0)</f>
        <v>0</v>
      </c>
      <c r="X449" s="57"/>
      <c r="Y449" s="57"/>
      <c r="Z449" s="56">
        <f>IFERROR(+Z443/Z446,0)</f>
        <v>0</v>
      </c>
      <c r="AA449" s="57"/>
      <c r="AB449" s="57"/>
      <c r="AC449" s="56">
        <f>IFERROR(+AC443/AC446,0)</f>
        <v>0</v>
      </c>
      <c r="AD449" s="57"/>
      <c r="AE449" s="57"/>
      <c r="AF449" s="56">
        <f>IFERROR(+AF443/AF446,0)</f>
        <v>0</v>
      </c>
      <c r="AG449" s="57"/>
      <c r="AH449" s="57"/>
      <c r="AI449" s="56">
        <f>IFERROR(+AI443/AI446,0)</f>
        <v>0</v>
      </c>
      <c r="AJ449" s="58"/>
      <c r="AK449" s="58"/>
      <c r="AL449" s="113">
        <f>IFERROR(+AL443/AL446,0)</f>
        <v>0</v>
      </c>
    </row>
    <row r="450" spans="1:38" x14ac:dyDescent="0.25">
      <c r="A450" s="73" t="s">
        <v>71</v>
      </c>
      <c r="B450" s="6" t="s">
        <v>73</v>
      </c>
      <c r="C450" s="7" t="s">
        <v>50</v>
      </c>
      <c r="D450" s="8" t="s">
        <v>23</v>
      </c>
      <c r="E450" s="59">
        <f>+'[1]DEKK AKMERKEZ'!C282</f>
        <v>77535.310000000012</v>
      </c>
      <c r="F450" s="60"/>
      <c r="G450" s="60"/>
      <c r="H450" s="61">
        <f>+'[1]DEKK AKMERKEZ'!F282</f>
        <v>58938.57</v>
      </c>
      <c r="I450" s="61"/>
      <c r="J450" s="61"/>
      <c r="K450" s="61">
        <f>+'[1]DEKK AKMERKEZ'!I282</f>
        <v>74702.760000000009</v>
      </c>
      <c r="L450" s="61"/>
      <c r="M450" s="61"/>
      <c r="N450" s="61">
        <f>+'[1]DEKK AKMERKEZ'!L282</f>
        <v>97562.59</v>
      </c>
      <c r="O450" s="61"/>
      <c r="P450" s="61"/>
      <c r="Q450" s="61">
        <f>+'[1]DEKK AKMERKEZ'!O282</f>
        <v>90077.8</v>
      </c>
      <c r="R450" s="61"/>
      <c r="S450" s="61"/>
      <c r="T450" s="61">
        <f>+'[1]DEKK AKMERKEZ'!R282</f>
        <v>125336.44</v>
      </c>
      <c r="U450" s="61"/>
      <c r="V450" s="61"/>
      <c r="W450" s="61">
        <f>+'[1]DEKK AKMERKEZ'!U282</f>
        <v>122629.47</v>
      </c>
      <c r="X450" s="61"/>
      <c r="Y450" s="61"/>
      <c r="Z450" s="61">
        <f>+'[1]DEKK AKMERKEZ'!X282</f>
        <v>0</v>
      </c>
      <c r="AA450" s="61"/>
      <c r="AB450" s="61"/>
      <c r="AC450" s="61">
        <f>+'[1]DEKK AKMERKEZ'!AA282</f>
        <v>0</v>
      </c>
      <c r="AD450" s="61"/>
      <c r="AE450" s="61"/>
      <c r="AF450" s="61">
        <f>+'[1]DEKK AKMERKEZ'!AD282</f>
        <v>0</v>
      </c>
      <c r="AG450" s="61"/>
      <c r="AH450" s="61"/>
      <c r="AI450" s="61">
        <f>+'[1]DEKK AKMERKEZ'!AG282</f>
        <v>0</v>
      </c>
      <c r="AJ450" s="62"/>
      <c r="AK450" s="62"/>
      <c r="AL450" s="114">
        <f>+'[1]DEKK AKMERKEZ'!AJ282</f>
        <v>0</v>
      </c>
    </row>
    <row r="451" spans="1:38" x14ac:dyDescent="0.25">
      <c r="A451" s="73" t="s">
        <v>71</v>
      </c>
      <c r="B451" s="6" t="s">
        <v>73</v>
      </c>
      <c r="C451" s="7" t="s">
        <v>51</v>
      </c>
      <c r="D451" s="8" t="s">
        <v>20</v>
      </c>
      <c r="E451" s="9"/>
      <c r="F451" s="10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2"/>
      <c r="AK451" s="12"/>
      <c r="AL451" s="74"/>
    </row>
    <row r="452" spans="1:38" x14ac:dyDescent="0.25">
      <c r="A452" s="85" t="s">
        <v>71</v>
      </c>
      <c r="B452" s="32" t="s">
        <v>73</v>
      </c>
      <c r="C452" s="33" t="s">
        <v>52</v>
      </c>
      <c r="D452" s="34" t="s">
        <v>23</v>
      </c>
      <c r="E452" s="24">
        <f>+'[1]DEKK AKMERKEZ'!C290</f>
        <v>0</v>
      </c>
      <c r="F452" s="25"/>
      <c r="G452" s="25"/>
      <c r="H452" s="26">
        <f>+'[1]DEKK AKMERKEZ'!F290</f>
        <v>0</v>
      </c>
      <c r="I452" s="26"/>
      <c r="J452" s="26"/>
      <c r="K452" s="26">
        <f>+'[1]DEKK AKMERKEZ'!I290</f>
        <v>0</v>
      </c>
      <c r="L452" s="26"/>
      <c r="M452" s="26"/>
      <c r="N452" s="26">
        <f>+'[1]DEKK AKMERKEZ'!L290</f>
        <v>0</v>
      </c>
      <c r="O452" s="26"/>
      <c r="P452" s="26"/>
      <c r="Q452" s="26">
        <f>+'[1]DEKK AKMERKEZ'!O290</f>
        <v>0</v>
      </c>
      <c r="R452" s="26"/>
      <c r="S452" s="26"/>
      <c r="T452" s="26">
        <f>+'[1]DEKK AKMERKEZ'!R290</f>
        <v>0</v>
      </c>
      <c r="U452" s="26"/>
      <c r="V452" s="26"/>
      <c r="W452" s="26">
        <f>+'[1]DEKK AKMERKEZ'!U290</f>
        <v>0</v>
      </c>
      <c r="X452" s="26"/>
      <c r="Y452" s="26"/>
      <c r="Z452" s="26">
        <f>+'[1]DEKK AKMERKEZ'!X290</f>
        <v>0</v>
      </c>
      <c r="AA452" s="26"/>
      <c r="AB452" s="26"/>
      <c r="AC452" s="26">
        <f>+'[1]DEKK AKMERKEZ'!AA290</f>
        <v>0</v>
      </c>
      <c r="AD452" s="26"/>
      <c r="AE452" s="26"/>
      <c r="AF452" s="26">
        <f>+'[1]DEKK AKMERKEZ'!AD290</f>
        <v>0</v>
      </c>
      <c r="AG452" s="26"/>
      <c r="AH452" s="26"/>
      <c r="AI452" s="26">
        <f>+'[1]DEKK AKMERKEZ'!AG290</f>
        <v>0</v>
      </c>
      <c r="AJ452" s="27"/>
      <c r="AK452" s="27"/>
      <c r="AL452" s="78">
        <f>+'[1]DEKK AKMERKEZ'!AJ290</f>
        <v>0</v>
      </c>
    </row>
    <row r="453" spans="1:38" x14ac:dyDescent="0.25">
      <c r="A453" s="85" t="s">
        <v>71</v>
      </c>
      <c r="B453" s="32" t="s">
        <v>73</v>
      </c>
      <c r="C453" s="33" t="s">
        <v>53</v>
      </c>
      <c r="D453" s="34" t="s">
        <v>23</v>
      </c>
      <c r="E453" s="28">
        <f>+'[1]DEKK AKMERKEZ'!C299-'[1]DEKK AKMERKEZ'!C232-'[1]DEKK AKMERKEZ'!C237-'[1]DEKK AKMERKEZ'!C254-'[1]DEKK AKMERKEZ'!C282-'[1]DEKK AKMERKEZ'!C290</f>
        <v>128103.62000000007</v>
      </c>
      <c r="F453" s="29"/>
      <c r="G453" s="29"/>
      <c r="H453" s="30">
        <f>+'[1]DEKK AKMERKEZ'!F299-'[1]DEKK AKMERKEZ'!F232-'[1]DEKK AKMERKEZ'!F237-'[1]DEKK AKMERKEZ'!F254-'[1]DEKK AKMERKEZ'!F282-'[1]DEKK AKMERKEZ'!F290</f>
        <v>156762.03000000003</v>
      </c>
      <c r="I453" s="30"/>
      <c r="J453" s="30"/>
      <c r="K453" s="30">
        <f>+'[1]DEKK AKMERKEZ'!I299-'[1]DEKK AKMERKEZ'!I232-'[1]DEKK AKMERKEZ'!I237-'[1]DEKK AKMERKEZ'!I254-'[1]DEKK AKMERKEZ'!I282-'[1]DEKK AKMERKEZ'!I290</f>
        <v>193135.75</v>
      </c>
      <c r="L453" s="30"/>
      <c r="M453" s="30"/>
      <c r="N453" s="30">
        <f>+'[1]DEKK AKMERKEZ'!L299-'[1]DEKK AKMERKEZ'!L232-'[1]DEKK AKMERKEZ'!L237-'[1]DEKK AKMERKEZ'!L254-'[1]DEKK AKMERKEZ'!L282-'[1]DEKK AKMERKEZ'!L290</f>
        <v>148248.50999999995</v>
      </c>
      <c r="O453" s="30"/>
      <c r="P453" s="30"/>
      <c r="Q453" s="30">
        <f>+'[1]DEKK AKMERKEZ'!O299-'[1]DEKK AKMERKEZ'!O232-'[1]DEKK AKMERKEZ'!O237-'[1]DEKK AKMERKEZ'!O254-'[1]DEKK AKMERKEZ'!O282-'[1]DEKK AKMERKEZ'!O290</f>
        <v>153664.77999999997</v>
      </c>
      <c r="R453" s="30"/>
      <c r="S453" s="30"/>
      <c r="T453" s="30">
        <f>+'[1]DEKK AKMERKEZ'!R299-'[1]DEKK AKMERKEZ'!R232-'[1]DEKK AKMERKEZ'!R237-'[1]DEKK AKMERKEZ'!R254-'[1]DEKK AKMERKEZ'!R282-'[1]DEKK AKMERKEZ'!R290</f>
        <v>193003.2099999999</v>
      </c>
      <c r="U453" s="30"/>
      <c r="V453" s="30"/>
      <c r="W453" s="30">
        <f>+'[1]DEKK AKMERKEZ'!U299-'[1]DEKK AKMERKEZ'!U232-'[1]DEKK AKMERKEZ'!U237-'[1]DEKK AKMERKEZ'!U254-'[1]DEKK AKMERKEZ'!U282-'[1]DEKK AKMERKEZ'!U290</f>
        <v>162419.48000000013</v>
      </c>
      <c r="X453" s="30"/>
      <c r="Y453" s="30"/>
      <c r="Z453" s="30">
        <f>+'[1]DEKK AKMERKEZ'!X299-'[1]DEKK AKMERKEZ'!X232-'[1]DEKK AKMERKEZ'!X237-'[1]DEKK AKMERKEZ'!X254-'[1]DEKK AKMERKEZ'!X282-'[1]DEKK AKMERKEZ'!X290</f>
        <v>0</v>
      </c>
      <c r="AA453" s="30"/>
      <c r="AB453" s="30"/>
      <c r="AC453" s="30">
        <f>+'[1]DEKK AKMERKEZ'!AA299-'[1]DEKK AKMERKEZ'!AA232-'[1]DEKK AKMERKEZ'!AA237-'[1]DEKK AKMERKEZ'!AA254-'[1]DEKK AKMERKEZ'!AA282-'[1]DEKK AKMERKEZ'!AA290</f>
        <v>0</v>
      </c>
      <c r="AD453" s="30"/>
      <c r="AE453" s="30"/>
      <c r="AF453" s="30">
        <f>+'[1]DEKK AKMERKEZ'!AD299-'[1]DEKK AKMERKEZ'!AD232-'[1]DEKK AKMERKEZ'!AD237-'[1]DEKK AKMERKEZ'!AD254-'[1]DEKK AKMERKEZ'!AD282-'[1]DEKK AKMERKEZ'!AD290</f>
        <v>0</v>
      </c>
      <c r="AG453" s="30"/>
      <c r="AH453" s="30"/>
      <c r="AI453" s="30">
        <f>+'[1]DEKK AKMERKEZ'!AG299-'[1]DEKK AKMERKEZ'!AG232-'[1]DEKK AKMERKEZ'!AG237-'[1]DEKK AKMERKEZ'!AG254-'[1]DEKK AKMERKEZ'!AG282-'[1]DEKK AKMERKEZ'!AG290</f>
        <v>0</v>
      </c>
      <c r="AJ453" s="31"/>
      <c r="AK453" s="31"/>
      <c r="AL453" s="79">
        <f>+'[1]DEKK AKMERKEZ'!AJ299-'[1]DEKK AKMERKEZ'!AJ232-'[1]DEKK AKMERKEZ'!AJ237-'[1]DEKK AKMERKEZ'!AJ254-'[1]DEKK AKMERKEZ'!AJ282-'[1]DEKK AKMERKEZ'!AJ290</f>
        <v>0</v>
      </c>
    </row>
    <row r="454" spans="1:38" x14ac:dyDescent="0.25">
      <c r="A454" s="85" t="s">
        <v>71</v>
      </c>
      <c r="B454" s="32" t="s">
        <v>73</v>
      </c>
      <c r="C454" s="33" t="s">
        <v>54</v>
      </c>
      <c r="D454" s="34" t="s">
        <v>23</v>
      </c>
      <c r="E454" s="59">
        <f>+E429+E430+E439+E441+E442+E443+E450+E452+E453</f>
        <v>957089.77588752098</v>
      </c>
      <c r="F454" s="60"/>
      <c r="G454" s="60"/>
      <c r="H454" s="61">
        <f>+H429+H430+H439+H441+H442+H443+H450+H452+H453</f>
        <v>751088.07204670552</v>
      </c>
      <c r="I454" s="61"/>
      <c r="J454" s="61"/>
      <c r="K454" s="61">
        <f>+K429+K430+K439+K441+K442+K443+K450+K452+K453</f>
        <v>896650.02000000014</v>
      </c>
      <c r="L454" s="61"/>
      <c r="M454" s="61"/>
      <c r="N454" s="61">
        <f>+N429+N430+N439+N441+N442+N443+N450+N452+N453</f>
        <v>997606.61999999988</v>
      </c>
      <c r="O454" s="61"/>
      <c r="P454" s="61"/>
      <c r="Q454" s="61">
        <f>+Q429+Q430+Q439+Q441+Q442+Q443+Q450+Q452+Q453</f>
        <v>1006367.46</v>
      </c>
      <c r="R454" s="61"/>
      <c r="S454" s="61"/>
      <c r="T454" s="61">
        <f>+T429+T430+T439+T441+T442+T443+T450+T452+T453</f>
        <v>1183412.2127589094</v>
      </c>
      <c r="U454" s="61"/>
      <c r="V454" s="61"/>
      <c r="W454" s="61">
        <f>+W429+W430+W439+W441+W442+W443+W450+W452+W453</f>
        <v>1144710.7100000002</v>
      </c>
      <c r="X454" s="61"/>
      <c r="Y454" s="61"/>
      <c r="Z454" s="61">
        <f>+Z429+Z430+Z439+Z441+Z442+Z443+Z450+Z452+Z453</f>
        <v>0</v>
      </c>
      <c r="AA454" s="61"/>
      <c r="AB454" s="61"/>
      <c r="AC454" s="61">
        <f>+AC429+AC430+AC439+AC441+AC442+AC443+AC450+AC452+AC453</f>
        <v>0</v>
      </c>
      <c r="AD454" s="61"/>
      <c r="AE454" s="61"/>
      <c r="AF454" s="61">
        <f>+AF429+AF430+AF439+AF441+AF442+AF443+AF450+AF452+AF453</f>
        <v>0</v>
      </c>
      <c r="AG454" s="61"/>
      <c r="AH454" s="61"/>
      <c r="AI454" s="61">
        <f>+AI429+AI430+AI439+AI441+AI442+AI443+AI450+AI452+AI453</f>
        <v>0</v>
      </c>
      <c r="AJ454" s="62"/>
      <c r="AK454" s="62"/>
      <c r="AL454" s="114">
        <f>+AL429+AL430+AL439+AL441+AL442+AL443+AL450+AL452+AL453</f>
        <v>0</v>
      </c>
    </row>
    <row r="455" spans="1:38" ht="15.75" thickBot="1" x14ac:dyDescent="0.3">
      <c r="A455" s="115" t="s">
        <v>71</v>
      </c>
      <c r="B455" s="116" t="s">
        <v>73</v>
      </c>
      <c r="C455" s="117" t="s">
        <v>55</v>
      </c>
      <c r="D455" s="118" t="s">
        <v>23</v>
      </c>
      <c r="E455" s="119">
        <f>+E454-'[1]DEKK AKMERKEZ'!C299</f>
        <v>0</v>
      </c>
      <c r="F455" s="120"/>
      <c r="G455" s="120"/>
      <c r="H455" s="121">
        <f>+H454-'[1]DEKK AKMERKEZ'!F299</f>
        <v>0</v>
      </c>
      <c r="I455" s="121"/>
      <c r="J455" s="121"/>
      <c r="K455" s="121">
        <f>+K454-'[1]DEKK AKMERKEZ'!I299</f>
        <v>0</v>
      </c>
      <c r="L455" s="121"/>
      <c r="M455" s="121"/>
      <c r="N455" s="121">
        <f>+N454-'[1]DEKK AKMERKEZ'!L299</f>
        <v>0</v>
      </c>
      <c r="O455" s="121"/>
      <c r="P455" s="121"/>
      <c r="Q455" s="121">
        <f>+Q454-'[1]DEKK AKMERKEZ'!O299</f>
        <v>0</v>
      </c>
      <c r="R455" s="121"/>
      <c r="S455" s="121"/>
      <c r="T455" s="121">
        <f>+T454-'[1]DEKK AKMERKEZ'!R299</f>
        <v>0</v>
      </c>
      <c r="U455" s="121"/>
      <c r="V455" s="121"/>
      <c r="W455" s="121">
        <f>+W454-'[1]DEKK AKMERKEZ'!U299</f>
        <v>0</v>
      </c>
      <c r="X455" s="121"/>
      <c r="Y455" s="121"/>
      <c r="Z455" s="121">
        <f>+Z454-'[1]DEKK AKMERKEZ'!X299</f>
        <v>0</v>
      </c>
      <c r="AA455" s="121"/>
      <c r="AB455" s="121"/>
      <c r="AC455" s="121">
        <f>+AC454-'[1]DEKK AKMERKEZ'!AA299</f>
        <v>0</v>
      </c>
      <c r="AD455" s="121"/>
      <c r="AE455" s="121"/>
      <c r="AF455" s="121">
        <f>+AF454-'[1]DEKK AKMERKEZ'!AD299</f>
        <v>0</v>
      </c>
      <c r="AG455" s="121"/>
      <c r="AH455" s="121"/>
      <c r="AI455" s="121">
        <f>+AI454-'[1]DEKK AKMERKEZ'!AG299</f>
        <v>0</v>
      </c>
      <c r="AJ455" s="122"/>
      <c r="AK455" s="122"/>
      <c r="AL455" s="123">
        <f>+AL454-'[1]DEKK AKMERKEZ'!AJ299</f>
        <v>0</v>
      </c>
    </row>
    <row r="456" spans="1:38" x14ac:dyDescent="0.25">
      <c r="A456" s="64" t="s">
        <v>71</v>
      </c>
      <c r="B456" s="65" t="s">
        <v>74</v>
      </c>
      <c r="C456" s="66" t="s">
        <v>19</v>
      </c>
      <c r="D456" s="67" t="s">
        <v>20</v>
      </c>
      <c r="E456" s="68">
        <f>+'[1]DEKK AKMERKEZ'!C312</f>
        <v>3399</v>
      </c>
      <c r="F456" s="69"/>
      <c r="G456" s="69"/>
      <c r="H456" s="70">
        <f>+'[1]DEKK AKMERKEZ'!F312</f>
        <v>2900</v>
      </c>
      <c r="I456" s="70"/>
      <c r="J456" s="70"/>
      <c r="K456" s="70">
        <f>+'[1]DEKK AKMERKEZ'!I312</f>
        <v>2981</v>
      </c>
      <c r="L456" s="70"/>
      <c r="M456" s="70"/>
      <c r="N456" s="70">
        <f>+'[1]DEKK AKMERKEZ'!L312</f>
        <v>3029</v>
      </c>
      <c r="O456" s="70"/>
      <c r="P456" s="70"/>
      <c r="Q456" s="70">
        <f>+'[1]DEKK AKMERKEZ'!O312</f>
        <v>2524</v>
      </c>
      <c r="R456" s="70"/>
      <c r="S456" s="70"/>
      <c r="T456" s="70">
        <f>+'[1]DEKK AKMERKEZ'!R312</f>
        <v>2673</v>
      </c>
      <c r="U456" s="70"/>
      <c r="V456" s="70"/>
      <c r="W456" s="70">
        <f>+'[1]DEKK AKMERKEZ'!U312</f>
        <v>2266</v>
      </c>
      <c r="X456" s="70"/>
      <c r="Y456" s="70"/>
      <c r="Z456" s="70">
        <f>+'[1]DEKK AKMERKEZ'!X312</f>
        <v>0</v>
      </c>
      <c r="AA456" s="70"/>
      <c r="AB456" s="70"/>
      <c r="AC456" s="70">
        <f>+'[1]DEKK AKMERKEZ'!AA312</f>
        <v>0</v>
      </c>
      <c r="AD456" s="70"/>
      <c r="AE456" s="70"/>
      <c r="AF456" s="70">
        <f>+'[1]DEKK AKMERKEZ'!AD312</f>
        <v>0</v>
      </c>
      <c r="AG456" s="70"/>
      <c r="AH456" s="70"/>
      <c r="AI456" s="70">
        <f>+'[1]DEKK AKMERKEZ'!AG312</f>
        <v>0</v>
      </c>
      <c r="AJ456" s="71"/>
      <c r="AK456" s="71"/>
      <c r="AL456" s="72">
        <f>+'[1]DEKK AKMERKEZ'!AJ312</f>
        <v>0</v>
      </c>
    </row>
    <row r="457" spans="1:38" x14ac:dyDescent="0.25">
      <c r="A457" s="73" t="s">
        <v>71</v>
      </c>
      <c r="B457" s="6" t="s">
        <v>74</v>
      </c>
      <c r="C457" s="7" t="s">
        <v>21</v>
      </c>
      <c r="D457" s="8" t="s">
        <v>20</v>
      </c>
      <c r="E457" s="9"/>
      <c r="F457" s="10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2"/>
      <c r="AK457" s="12"/>
      <c r="AL457" s="74"/>
    </row>
    <row r="458" spans="1:38" x14ac:dyDescent="0.25">
      <c r="A458" s="73" t="s">
        <v>71</v>
      </c>
      <c r="B458" s="6" t="s">
        <v>74</v>
      </c>
      <c r="C458" s="7" t="s">
        <v>22</v>
      </c>
      <c r="D458" s="8" t="s">
        <v>23</v>
      </c>
      <c r="E458" s="13">
        <f>+'[1]DEKK AKMERKEZ'!C307</f>
        <v>182418.86999999994</v>
      </c>
      <c r="F458" s="14"/>
      <c r="G458" s="14"/>
      <c r="H458" s="15">
        <f>+'[1]DEKK AKMERKEZ'!F307</f>
        <v>214883.62000000002</v>
      </c>
      <c r="I458" s="14"/>
      <c r="J458" s="14"/>
      <c r="K458" s="13">
        <f>+'[1]DEKK AKMERKEZ'!I307</f>
        <v>222620.3600000001</v>
      </c>
      <c r="L458" s="14"/>
      <c r="M458" s="14"/>
      <c r="N458" s="15">
        <f>+'[1]DEKK AKMERKEZ'!L307</f>
        <v>234814</v>
      </c>
      <c r="O458" s="15"/>
      <c r="P458" s="15"/>
      <c r="Q458" s="15">
        <f>+'[1]DEKK AKMERKEZ'!O307</f>
        <v>220778.79000000004</v>
      </c>
      <c r="R458" s="15"/>
      <c r="S458" s="15"/>
      <c r="T458" s="15">
        <f>+'[1]DEKK AKMERKEZ'!R307</f>
        <v>235170.44000000003</v>
      </c>
      <c r="U458" s="15"/>
      <c r="V458" s="15"/>
      <c r="W458" s="15">
        <f>+'[1]DEKK AKMERKEZ'!U307</f>
        <v>227203.43</v>
      </c>
      <c r="X458" s="15"/>
      <c r="Y458" s="15"/>
      <c r="Z458" s="15">
        <f>+'[1]DEKK AKMERKEZ'!X307</f>
        <v>0</v>
      </c>
      <c r="AA458" s="15"/>
      <c r="AB458" s="15"/>
      <c r="AC458" s="15">
        <f>+'[1]DEKK AKMERKEZ'!AA307</f>
        <v>0</v>
      </c>
      <c r="AD458" s="15"/>
      <c r="AE458" s="15"/>
      <c r="AF458" s="15">
        <f>+'[1]DEKK AKMERKEZ'!AD307</f>
        <v>0</v>
      </c>
      <c r="AG458" s="15"/>
      <c r="AH458" s="15"/>
      <c r="AI458" s="15">
        <f>+'[1]DEKK AKMERKEZ'!AG307</f>
        <v>0</v>
      </c>
      <c r="AJ458" s="16"/>
      <c r="AK458" s="16"/>
      <c r="AL458" s="75">
        <f>+'[1]DEKK AKMERKEZ'!AJ307</f>
        <v>0</v>
      </c>
    </row>
    <row r="459" spans="1:38" x14ac:dyDescent="0.25">
      <c r="A459" s="73" t="s">
        <v>71</v>
      </c>
      <c r="B459" s="6" t="s">
        <v>74</v>
      </c>
      <c r="C459" s="7" t="s">
        <v>24</v>
      </c>
      <c r="D459" s="8" t="s">
        <v>23</v>
      </c>
      <c r="E459" s="13">
        <f>+'[1]DEKK AKMERKEZ'!C308</f>
        <v>446491.78000000009</v>
      </c>
      <c r="F459" s="17"/>
      <c r="G459" s="17"/>
      <c r="H459" s="18">
        <f>+'[1]DEKK AKMERKEZ'!F308</f>
        <v>334513.18000000005</v>
      </c>
      <c r="I459" s="18"/>
      <c r="J459" s="18"/>
      <c r="K459" s="18">
        <f>+'[1]DEKK AKMERKEZ'!I308</f>
        <v>359719.54999999993</v>
      </c>
      <c r="L459" s="18"/>
      <c r="M459" s="18"/>
      <c r="N459" s="18">
        <f>+'[1]DEKK AKMERKEZ'!L308</f>
        <v>397596.75000000006</v>
      </c>
      <c r="O459" s="18"/>
      <c r="P459" s="18"/>
      <c r="Q459" s="18">
        <f>+'[1]DEKK AKMERKEZ'!O308</f>
        <v>373365.86999999994</v>
      </c>
      <c r="R459" s="18"/>
      <c r="S459" s="18"/>
      <c r="T459" s="18">
        <f>+'[1]DEKK AKMERKEZ'!R308</f>
        <v>363834.99000000005</v>
      </c>
      <c r="U459" s="18"/>
      <c r="V459" s="18"/>
      <c r="W459" s="18">
        <f>+'[1]DEKK AKMERKEZ'!U308</f>
        <v>277254.1100000001</v>
      </c>
      <c r="X459" s="18"/>
      <c r="Y459" s="18"/>
      <c r="Z459" s="18">
        <f>+'[1]DEKK AKMERKEZ'!X308</f>
        <v>0</v>
      </c>
      <c r="AA459" s="18"/>
      <c r="AB459" s="18"/>
      <c r="AC459" s="18">
        <f>+'[1]DEKK AKMERKEZ'!AA308</f>
        <v>0</v>
      </c>
      <c r="AD459" s="18"/>
      <c r="AE459" s="18"/>
      <c r="AF459" s="18">
        <f>+'[1]DEKK AKMERKEZ'!AD308</f>
        <v>0</v>
      </c>
      <c r="AG459" s="18"/>
      <c r="AH459" s="18"/>
      <c r="AI459" s="18">
        <f>+'[1]DEKK AKMERKEZ'!AG308</f>
        <v>0</v>
      </c>
      <c r="AJ459" s="19"/>
      <c r="AK459" s="19"/>
      <c r="AL459" s="76">
        <f>+'[1]DEKK AKMERKEZ'!AJ308</f>
        <v>0</v>
      </c>
    </row>
    <row r="460" spans="1:38" x14ac:dyDescent="0.25">
      <c r="A460" s="73" t="s">
        <v>71</v>
      </c>
      <c r="B460" s="6" t="s">
        <v>74</v>
      </c>
      <c r="C460" s="7" t="s">
        <v>25</v>
      </c>
      <c r="D460" s="8" t="s">
        <v>23</v>
      </c>
      <c r="E460" s="20">
        <f>+'[1]DEKK AKMERKEZ'!C311-'[1]DEKK AKMERKEZ'!C307-'[1]DEKK AKMERKEZ'!C308</f>
        <v>0</v>
      </c>
      <c r="F460" s="21"/>
      <c r="G460" s="21"/>
      <c r="H460" s="22">
        <f>+'[1]DEKK AKMERKEZ'!F311-'[1]DEKK AKMERKEZ'!F307-'[1]DEKK AKMERKEZ'!F308</f>
        <v>0</v>
      </c>
      <c r="I460" s="22"/>
      <c r="J460" s="22"/>
      <c r="K460" s="22">
        <f>+'[1]DEKK AKMERKEZ'!I311-'[1]DEKK AKMERKEZ'!I307-'[1]DEKK AKMERKEZ'!I308</f>
        <v>0</v>
      </c>
      <c r="L460" s="22"/>
      <c r="M460" s="22"/>
      <c r="N460" s="22">
        <f>+'[1]DEKK AKMERKEZ'!L311-'[1]DEKK AKMERKEZ'!L307-'[1]DEKK AKMERKEZ'!L308</f>
        <v>0</v>
      </c>
      <c r="O460" s="22"/>
      <c r="P460" s="22"/>
      <c r="Q460" s="22">
        <f>+'[1]DEKK AKMERKEZ'!O311-'[1]DEKK AKMERKEZ'!O307-'[1]DEKK AKMERKEZ'!O308</f>
        <v>0</v>
      </c>
      <c r="R460" s="22"/>
      <c r="S460" s="22"/>
      <c r="T460" s="22">
        <f>+'[1]DEKK AKMERKEZ'!R311-'[1]DEKK AKMERKEZ'!R307-'[1]DEKK AKMERKEZ'!R308</f>
        <v>0</v>
      </c>
      <c r="U460" s="22"/>
      <c r="V460" s="22"/>
      <c r="W460" s="22">
        <f>+'[1]DEKK AKMERKEZ'!U311-'[1]DEKK AKMERKEZ'!U307-'[1]DEKK AKMERKEZ'!U308</f>
        <v>0</v>
      </c>
      <c r="X460" s="22"/>
      <c r="Y460" s="22"/>
      <c r="Z460" s="22">
        <f>+'[1]DEKK AKMERKEZ'!X311-'[1]DEKK AKMERKEZ'!X307-'[1]DEKK AKMERKEZ'!X308</f>
        <v>0</v>
      </c>
      <c r="AA460" s="22"/>
      <c r="AB460" s="22"/>
      <c r="AC460" s="22">
        <f>+'[1]DEKK AKMERKEZ'!AA311-'[1]DEKK AKMERKEZ'!AA307-'[1]DEKK AKMERKEZ'!AA308</f>
        <v>0</v>
      </c>
      <c r="AD460" s="22"/>
      <c r="AE460" s="22"/>
      <c r="AF460" s="22">
        <f>+'[1]DEKK AKMERKEZ'!AD311-'[1]DEKK AKMERKEZ'!AD307-'[1]DEKK AKMERKEZ'!AD308</f>
        <v>0</v>
      </c>
      <c r="AG460" s="22"/>
      <c r="AH460" s="22"/>
      <c r="AI460" s="22">
        <f>+'[1]DEKK AKMERKEZ'!AG311-'[1]DEKK AKMERKEZ'!AG307-'[1]DEKK AKMERKEZ'!AG308</f>
        <v>0</v>
      </c>
      <c r="AJ460" s="23"/>
      <c r="AK460" s="23"/>
      <c r="AL460" s="77">
        <f>+'[1]DEKK AKMERKEZ'!AJ311-'[1]DEKK AKMERKEZ'!AJ307-'[1]DEKK AKMERKEZ'!AJ308</f>
        <v>0</v>
      </c>
    </row>
    <row r="461" spans="1:38" x14ac:dyDescent="0.25">
      <c r="A461" s="73" t="s">
        <v>71</v>
      </c>
      <c r="B461" s="6" t="s">
        <v>74</v>
      </c>
      <c r="C461" s="7" t="s">
        <v>26</v>
      </c>
      <c r="D461" s="8" t="s">
        <v>23</v>
      </c>
      <c r="E461" s="24">
        <f>+'[1]DEKK AKMERKEZ'!C332</f>
        <v>52358.489999999991</v>
      </c>
      <c r="F461" s="25"/>
      <c r="G461" s="25"/>
      <c r="H461" s="26">
        <f>+'[1]DEKK AKMERKEZ'!F332</f>
        <v>36969.740000000005</v>
      </c>
      <c r="I461" s="26"/>
      <c r="J461" s="26"/>
      <c r="K461" s="26">
        <f>+'[1]DEKK AKMERKEZ'!I332</f>
        <v>44211.8</v>
      </c>
      <c r="L461" s="26"/>
      <c r="M461" s="26"/>
      <c r="N461" s="26">
        <f>+'[1]DEKK AKMERKEZ'!L332</f>
        <v>50168.83</v>
      </c>
      <c r="O461" s="26"/>
      <c r="P461" s="26"/>
      <c r="Q461" s="26">
        <f>+'[1]DEKK AKMERKEZ'!O332</f>
        <v>67722.529999999984</v>
      </c>
      <c r="R461" s="26"/>
      <c r="S461" s="26"/>
      <c r="T461" s="26">
        <f>+'[1]DEKK AKMERKEZ'!R332</f>
        <v>85353.279999999984</v>
      </c>
      <c r="U461" s="26"/>
      <c r="V461" s="26"/>
      <c r="W461" s="26">
        <f>+'[1]DEKK AKMERKEZ'!U332</f>
        <v>32915.069999999992</v>
      </c>
      <c r="X461" s="26"/>
      <c r="Y461" s="26"/>
      <c r="Z461" s="26">
        <f>+'[1]DEKK AKMERKEZ'!X332</f>
        <v>0</v>
      </c>
      <c r="AA461" s="26"/>
      <c r="AB461" s="26"/>
      <c r="AC461" s="26">
        <f>+'[1]DEKK AKMERKEZ'!AA332</f>
        <v>0</v>
      </c>
      <c r="AD461" s="26"/>
      <c r="AE461" s="26"/>
      <c r="AF461" s="26">
        <f>+'[1]DEKK AKMERKEZ'!AD332</f>
        <v>0</v>
      </c>
      <c r="AG461" s="26"/>
      <c r="AH461" s="26"/>
      <c r="AI461" s="26">
        <f>+'[1]DEKK AKMERKEZ'!AG332</f>
        <v>0</v>
      </c>
      <c r="AJ461" s="27"/>
      <c r="AK461" s="27"/>
      <c r="AL461" s="78">
        <f>+'[1]DEKK AKMERKEZ'!AJ332</f>
        <v>0</v>
      </c>
    </row>
    <row r="462" spans="1:38" x14ac:dyDescent="0.25">
      <c r="A462" s="73" t="s">
        <v>71</v>
      </c>
      <c r="B462" s="6" t="s">
        <v>74</v>
      </c>
      <c r="C462" s="7" t="s">
        <v>27</v>
      </c>
      <c r="D462" s="8" t="s">
        <v>23</v>
      </c>
      <c r="E462" s="28">
        <f>+'[1]DEKK AKMERKEZ'!C333</f>
        <v>49591.95</v>
      </c>
      <c r="F462" s="29"/>
      <c r="G462" s="29"/>
      <c r="H462" s="30">
        <f>+'[1]DEKK AKMERKEZ'!F333</f>
        <v>50242.86</v>
      </c>
      <c r="I462" s="30"/>
      <c r="J462" s="30"/>
      <c r="K462" s="30">
        <f>+'[1]DEKK AKMERKEZ'!I333</f>
        <v>64325.39</v>
      </c>
      <c r="L462" s="30"/>
      <c r="M462" s="30"/>
      <c r="N462" s="30">
        <f>+'[1]DEKK AKMERKEZ'!L333</f>
        <v>35815.47</v>
      </c>
      <c r="O462" s="30"/>
      <c r="P462" s="30"/>
      <c r="Q462" s="30">
        <f>+'[1]DEKK AKMERKEZ'!O333</f>
        <v>96894.51999999999</v>
      </c>
      <c r="R462" s="30"/>
      <c r="S462" s="30"/>
      <c r="T462" s="30">
        <f>+'[1]DEKK AKMERKEZ'!R333</f>
        <v>64928.729999999996</v>
      </c>
      <c r="U462" s="30"/>
      <c r="V462" s="30"/>
      <c r="W462" s="30">
        <f>+'[1]DEKK AKMERKEZ'!U333</f>
        <v>102731.76</v>
      </c>
      <c r="X462" s="30"/>
      <c r="Y462" s="30"/>
      <c r="Z462" s="30">
        <f>+'[1]DEKK AKMERKEZ'!X333</f>
        <v>0</v>
      </c>
      <c r="AA462" s="30"/>
      <c r="AB462" s="30"/>
      <c r="AC462" s="30">
        <f>+'[1]DEKK AKMERKEZ'!AA333</f>
        <v>0</v>
      </c>
      <c r="AD462" s="30"/>
      <c r="AE462" s="30"/>
      <c r="AF462" s="30">
        <f>+'[1]DEKK AKMERKEZ'!AD333</f>
        <v>0</v>
      </c>
      <c r="AG462" s="30"/>
      <c r="AH462" s="30"/>
      <c r="AI462" s="30">
        <f>+'[1]DEKK AKMERKEZ'!AG333</f>
        <v>0</v>
      </c>
      <c r="AJ462" s="31"/>
      <c r="AK462" s="31"/>
      <c r="AL462" s="79">
        <f>+'[1]DEKK AKMERKEZ'!AJ333</f>
        <v>0</v>
      </c>
    </row>
    <row r="463" spans="1:38" x14ac:dyDescent="0.25">
      <c r="A463" s="73" t="s">
        <v>71</v>
      </c>
      <c r="B463" s="6" t="s">
        <v>74</v>
      </c>
      <c r="C463" s="7" t="s">
        <v>28</v>
      </c>
      <c r="D463" s="8" t="s">
        <v>29</v>
      </c>
      <c r="E463" s="124">
        <f>+'[1]DEKK AKMERKEZ'!C316</f>
        <v>1</v>
      </c>
      <c r="F463" s="125"/>
      <c r="G463" s="125"/>
      <c r="H463" s="126">
        <f>+'[1]DEKK AKMERKEZ'!F316</f>
        <v>1</v>
      </c>
      <c r="I463" s="126"/>
      <c r="J463" s="126"/>
      <c r="K463" s="126">
        <f>+'[1]DEKK AKMERKEZ'!I316</f>
        <v>1</v>
      </c>
      <c r="L463" s="126"/>
      <c r="M463" s="126"/>
      <c r="N463" s="126">
        <f>+'[1]DEKK AKMERKEZ'!L316</f>
        <v>1</v>
      </c>
      <c r="O463" s="126"/>
      <c r="P463" s="126"/>
      <c r="Q463" s="126">
        <f>+'[1]DEKK AKMERKEZ'!O316</f>
        <v>1</v>
      </c>
      <c r="R463" s="126"/>
      <c r="S463" s="126"/>
      <c r="T463" s="126">
        <f>+'[1]DEKK AKMERKEZ'!R316</f>
        <v>1</v>
      </c>
      <c r="U463" s="126"/>
      <c r="V463" s="126"/>
      <c r="W463" s="126">
        <f>+'[1]DEKK AKMERKEZ'!U316</f>
        <v>1</v>
      </c>
      <c r="X463" s="126"/>
      <c r="Y463" s="126"/>
      <c r="Z463" s="126">
        <f>+'[1]DEKK AKMERKEZ'!X316</f>
        <v>0</v>
      </c>
      <c r="AA463" s="126"/>
      <c r="AB463" s="126"/>
      <c r="AC463" s="126">
        <f>+'[1]DEKK AKMERKEZ'!AA316</f>
        <v>0</v>
      </c>
      <c r="AD463" s="126"/>
      <c r="AE463" s="126"/>
      <c r="AF463" s="126">
        <f>+'[1]DEKK AKMERKEZ'!AD316</f>
        <v>0</v>
      </c>
      <c r="AG463" s="126"/>
      <c r="AH463" s="126"/>
      <c r="AI463" s="126">
        <f>+'[1]DEKK AKMERKEZ'!AG316</f>
        <v>0</v>
      </c>
      <c r="AJ463" s="127"/>
      <c r="AK463" s="127"/>
      <c r="AL463" s="128">
        <f>+'[1]DEKK AKMERKEZ'!AJ316</f>
        <v>0</v>
      </c>
    </row>
    <row r="464" spans="1:38" x14ac:dyDescent="0.25">
      <c r="A464" s="85" t="s">
        <v>71</v>
      </c>
      <c r="B464" s="32" t="s">
        <v>74</v>
      </c>
      <c r="C464" s="33" t="s">
        <v>30</v>
      </c>
      <c r="D464" s="34" t="s">
        <v>29</v>
      </c>
      <c r="E464" s="129">
        <f>+'[1]DEKK AKMERKEZ'!C317</f>
        <v>0</v>
      </c>
      <c r="F464" s="130"/>
      <c r="G464" s="130"/>
      <c r="H464" s="131">
        <f>+'[1]DEKK AKMERKEZ'!F317</f>
        <v>0</v>
      </c>
      <c r="I464" s="131"/>
      <c r="J464" s="131"/>
      <c r="K464" s="131">
        <f>+'[1]DEKK AKMERKEZ'!I317</f>
        <v>0</v>
      </c>
      <c r="L464" s="131"/>
      <c r="M464" s="131"/>
      <c r="N464" s="131">
        <f>+'[1]DEKK AKMERKEZ'!L317</f>
        <v>0</v>
      </c>
      <c r="O464" s="131"/>
      <c r="P464" s="131"/>
      <c r="Q464" s="131">
        <f>+'[1]DEKK AKMERKEZ'!O317</f>
        <v>0</v>
      </c>
      <c r="R464" s="131"/>
      <c r="S464" s="131"/>
      <c r="T464" s="131">
        <f>+'[1]DEKK AKMERKEZ'!R317</f>
        <v>0</v>
      </c>
      <c r="U464" s="131"/>
      <c r="V464" s="131"/>
      <c r="W464" s="131">
        <f>+'[1]DEKK AKMERKEZ'!U317</f>
        <v>0</v>
      </c>
      <c r="X464" s="131"/>
      <c r="Y464" s="131"/>
      <c r="Z464" s="131">
        <f>+'[1]DEKK AKMERKEZ'!X317</f>
        <v>0</v>
      </c>
      <c r="AA464" s="131"/>
      <c r="AB464" s="131"/>
      <c r="AC464" s="131">
        <f>+'[1]DEKK AKMERKEZ'!AA317</f>
        <v>0</v>
      </c>
      <c r="AD464" s="131"/>
      <c r="AE464" s="131"/>
      <c r="AF464" s="131">
        <f>+'[1]DEKK AKMERKEZ'!AD317</f>
        <v>0</v>
      </c>
      <c r="AG464" s="131"/>
      <c r="AH464" s="131"/>
      <c r="AI464" s="131">
        <f>+'[1]DEKK AKMERKEZ'!AG317</f>
        <v>0</v>
      </c>
      <c r="AJ464" s="132"/>
      <c r="AK464" s="132"/>
      <c r="AL464" s="133">
        <f>+'[1]DEKK AKMERKEZ'!AJ317</f>
        <v>0</v>
      </c>
    </row>
    <row r="465" spans="1:38" x14ac:dyDescent="0.25">
      <c r="A465" s="85" t="s">
        <v>71</v>
      </c>
      <c r="B465" s="32" t="s">
        <v>74</v>
      </c>
      <c r="C465" s="33" t="s">
        <v>31</v>
      </c>
      <c r="D465" s="34" t="s">
        <v>29</v>
      </c>
      <c r="E465" s="129">
        <f>+'[1]DEKK AKMERKEZ'!C318</f>
        <v>0</v>
      </c>
      <c r="F465" s="130"/>
      <c r="G465" s="130"/>
      <c r="H465" s="131">
        <f>+'[1]DEKK AKMERKEZ'!F318</f>
        <v>0</v>
      </c>
      <c r="I465" s="131"/>
      <c r="J465" s="131"/>
      <c r="K465" s="131">
        <f>+'[1]DEKK AKMERKEZ'!I318</f>
        <v>0</v>
      </c>
      <c r="L465" s="131"/>
      <c r="M465" s="131"/>
      <c r="N465" s="131">
        <f>+'[1]DEKK AKMERKEZ'!L318</f>
        <v>0</v>
      </c>
      <c r="O465" s="131"/>
      <c r="P465" s="131"/>
      <c r="Q465" s="131">
        <f>+'[1]DEKK AKMERKEZ'!O318</f>
        <v>0</v>
      </c>
      <c r="R465" s="131"/>
      <c r="S465" s="131"/>
      <c r="T465" s="131">
        <f>+'[1]DEKK AKMERKEZ'!R318</f>
        <v>0</v>
      </c>
      <c r="U465" s="131"/>
      <c r="V465" s="131"/>
      <c r="W465" s="131">
        <f>+'[1]DEKK AKMERKEZ'!U318</f>
        <v>0</v>
      </c>
      <c r="X465" s="131"/>
      <c r="Y465" s="131"/>
      <c r="Z465" s="131">
        <f>+'[1]DEKK AKMERKEZ'!X318</f>
        <v>0</v>
      </c>
      <c r="AA465" s="131"/>
      <c r="AB465" s="131"/>
      <c r="AC465" s="131">
        <f>+'[1]DEKK AKMERKEZ'!AA318</f>
        <v>0</v>
      </c>
      <c r="AD465" s="131"/>
      <c r="AE465" s="131"/>
      <c r="AF465" s="131">
        <f>+'[1]DEKK AKMERKEZ'!AD318</f>
        <v>0</v>
      </c>
      <c r="AG465" s="131"/>
      <c r="AH465" s="131"/>
      <c r="AI465" s="131">
        <f>+'[1]DEKK AKMERKEZ'!AG318</f>
        <v>0</v>
      </c>
      <c r="AJ465" s="132"/>
      <c r="AK465" s="132"/>
      <c r="AL465" s="133">
        <f>+'[1]DEKK AKMERKEZ'!AJ318</f>
        <v>0</v>
      </c>
    </row>
    <row r="466" spans="1:38" x14ac:dyDescent="0.25">
      <c r="A466" s="85" t="s">
        <v>71</v>
      </c>
      <c r="B466" s="32" t="s">
        <v>74</v>
      </c>
      <c r="C466" s="33" t="s">
        <v>32</v>
      </c>
      <c r="D466" s="34" t="s">
        <v>29</v>
      </c>
      <c r="E466" s="129">
        <f>+'[1]DEKK AKMERKEZ'!C319</f>
        <v>0</v>
      </c>
      <c r="F466" s="130"/>
      <c r="G466" s="130"/>
      <c r="H466" s="131">
        <f>+'[1]DEKK AKMERKEZ'!F319</f>
        <v>0</v>
      </c>
      <c r="I466" s="131"/>
      <c r="J466" s="131"/>
      <c r="K466" s="131">
        <f>+'[1]DEKK AKMERKEZ'!I319</f>
        <v>0</v>
      </c>
      <c r="L466" s="131"/>
      <c r="M466" s="131"/>
      <c r="N466" s="131">
        <f>+'[1]DEKK AKMERKEZ'!L319</f>
        <v>0</v>
      </c>
      <c r="O466" s="131"/>
      <c r="P466" s="131"/>
      <c r="Q466" s="131">
        <f>+'[1]DEKK AKMERKEZ'!O319</f>
        <v>0</v>
      </c>
      <c r="R466" s="131"/>
      <c r="S466" s="131"/>
      <c r="T466" s="131">
        <f>+'[1]DEKK AKMERKEZ'!R319</f>
        <v>0</v>
      </c>
      <c r="U466" s="131"/>
      <c r="V466" s="131"/>
      <c r="W466" s="131">
        <f>+'[1]DEKK AKMERKEZ'!U319</f>
        <v>0</v>
      </c>
      <c r="X466" s="131"/>
      <c r="Y466" s="131"/>
      <c r="Z466" s="131">
        <f>+'[1]DEKK AKMERKEZ'!X319</f>
        <v>0</v>
      </c>
      <c r="AA466" s="131"/>
      <c r="AB466" s="131"/>
      <c r="AC466" s="131">
        <f>+'[1]DEKK AKMERKEZ'!AA319</f>
        <v>0</v>
      </c>
      <c r="AD466" s="131"/>
      <c r="AE466" s="131"/>
      <c r="AF466" s="131">
        <f>+'[1]DEKK AKMERKEZ'!AD319</f>
        <v>0</v>
      </c>
      <c r="AG466" s="131"/>
      <c r="AH466" s="131"/>
      <c r="AI466" s="131">
        <f>+'[1]DEKK AKMERKEZ'!AG319</f>
        <v>0</v>
      </c>
      <c r="AJ466" s="132"/>
      <c r="AK466" s="132"/>
      <c r="AL466" s="133">
        <f>+'[1]DEKK AKMERKEZ'!AJ319</f>
        <v>0</v>
      </c>
    </row>
    <row r="467" spans="1:38" x14ac:dyDescent="0.25">
      <c r="A467" s="85" t="s">
        <v>71</v>
      </c>
      <c r="B467" s="32" t="s">
        <v>74</v>
      </c>
      <c r="C467" s="33" t="s">
        <v>33</v>
      </c>
      <c r="D467" s="34" t="s">
        <v>29</v>
      </c>
      <c r="E467" s="129">
        <f>SUM(E463:E466)</f>
        <v>1</v>
      </c>
      <c r="F467" s="130"/>
      <c r="G467" s="130"/>
      <c r="H467" s="129">
        <f>SUM(H463:H466)</f>
        <v>1</v>
      </c>
      <c r="I467" s="131"/>
      <c r="J467" s="131"/>
      <c r="K467" s="129">
        <f>SUM(K463:K466)</f>
        <v>1</v>
      </c>
      <c r="L467" s="131"/>
      <c r="M467" s="131"/>
      <c r="N467" s="129">
        <f>SUM(N463:N466)</f>
        <v>1</v>
      </c>
      <c r="O467" s="131"/>
      <c r="P467" s="131"/>
      <c r="Q467" s="129">
        <f>SUM(Q463:Q466)</f>
        <v>1</v>
      </c>
      <c r="R467" s="131"/>
      <c r="S467" s="131"/>
      <c r="T467" s="129">
        <f>SUM(T463:T466)</f>
        <v>1</v>
      </c>
      <c r="U467" s="131"/>
      <c r="V467" s="131"/>
      <c r="W467" s="129">
        <f>SUM(W463:W466)</f>
        <v>1</v>
      </c>
      <c r="X467" s="131"/>
      <c r="Y467" s="131"/>
      <c r="Z467" s="129">
        <f>SUM(Z463:Z466)</f>
        <v>0</v>
      </c>
      <c r="AA467" s="131"/>
      <c r="AB467" s="131"/>
      <c r="AC467" s="129">
        <f>SUM(AC463:AC466)</f>
        <v>0</v>
      </c>
      <c r="AD467" s="131"/>
      <c r="AE467" s="131"/>
      <c r="AF467" s="129">
        <f>SUM(AF463:AF466)</f>
        <v>0</v>
      </c>
      <c r="AG467" s="131"/>
      <c r="AH467" s="131"/>
      <c r="AI467" s="129">
        <f>SUM(AI463:AI466)</f>
        <v>0</v>
      </c>
      <c r="AJ467" s="132"/>
      <c r="AK467" s="132"/>
      <c r="AL467" s="134">
        <f>SUM(AL463:AL466)</f>
        <v>0</v>
      </c>
    </row>
    <row r="468" spans="1:38" x14ac:dyDescent="0.25">
      <c r="A468" s="85" t="s">
        <v>71</v>
      </c>
      <c r="B468" s="32" t="s">
        <v>74</v>
      </c>
      <c r="C468" s="33" t="s">
        <v>34</v>
      </c>
      <c r="D468" s="34" t="s">
        <v>23</v>
      </c>
      <c r="E468" s="35">
        <f>+'[1]DEKK AKMERKEZ'!C323+'[1]DEKK AKMERKEZ'!C324+'[1]DEKK AKMERKEZ'!C325+'[1]DEKK AKMERKEZ'!C326</f>
        <v>88265.800872224834</v>
      </c>
      <c r="F468" s="36"/>
      <c r="G468" s="36"/>
      <c r="H468" s="35">
        <f>+'[1]DEKK AKMERKEZ'!F323+'[1]DEKK AKMERKEZ'!F324+'[1]DEKK AKMERKEZ'!F325+'[1]DEKK AKMERKEZ'!F326</f>
        <v>76283.48026409086</v>
      </c>
      <c r="I468" s="18"/>
      <c r="J468" s="18"/>
      <c r="K468" s="35">
        <f>+'[1]DEKK AKMERKEZ'!I323+'[1]DEKK AKMERKEZ'!I324+'[1]DEKK AKMERKEZ'!I325+'[1]DEKK AKMERKEZ'!I326</f>
        <v>80758.13</v>
      </c>
      <c r="L468" s="18"/>
      <c r="M468" s="18"/>
      <c r="N468" s="35">
        <f>+'[1]DEKK AKMERKEZ'!L323+'[1]DEKK AKMERKEZ'!L324+'[1]DEKK AKMERKEZ'!L325+'[1]DEKK AKMERKEZ'!L326</f>
        <v>82914.39</v>
      </c>
      <c r="O468" s="18"/>
      <c r="P468" s="18"/>
      <c r="Q468" s="35">
        <f>+'[1]DEKK AKMERKEZ'!O323+'[1]DEKK AKMERKEZ'!O324+'[1]DEKK AKMERKEZ'!O325+'[1]DEKK AKMERKEZ'!O326</f>
        <v>93308.969999999987</v>
      </c>
      <c r="R468" s="18"/>
      <c r="S468" s="18"/>
      <c r="T468" s="35">
        <f>+'[1]DEKK AKMERKEZ'!R323+'[1]DEKK AKMERKEZ'!R324+'[1]DEKK AKMERKEZ'!R325+'[1]DEKK AKMERKEZ'!R326</f>
        <v>80857.030314107556</v>
      </c>
      <c r="U468" s="18"/>
      <c r="V468" s="18"/>
      <c r="W468" s="35">
        <f>+'[1]DEKK AKMERKEZ'!U323+'[1]DEKK AKMERKEZ'!U324+'[1]DEKK AKMERKEZ'!U325+'[1]DEKK AKMERKEZ'!U326</f>
        <v>86096.200000000012</v>
      </c>
      <c r="X468" s="18"/>
      <c r="Y468" s="18"/>
      <c r="Z468" s="35">
        <f>+'[1]DEKK AKMERKEZ'!X323+'[1]DEKK AKMERKEZ'!X324+'[1]DEKK AKMERKEZ'!X325+'[1]DEKK AKMERKEZ'!X326</f>
        <v>0</v>
      </c>
      <c r="AA468" s="18"/>
      <c r="AB468" s="18"/>
      <c r="AC468" s="35">
        <f>+'[1]DEKK AKMERKEZ'!AA323+'[1]DEKK AKMERKEZ'!AA324+'[1]DEKK AKMERKEZ'!AA325+'[1]DEKK AKMERKEZ'!AA326</f>
        <v>0</v>
      </c>
      <c r="AD468" s="18"/>
      <c r="AE468" s="18"/>
      <c r="AF468" s="35">
        <f>+'[1]DEKK AKMERKEZ'!AD323+'[1]DEKK AKMERKEZ'!AD324+'[1]DEKK AKMERKEZ'!AD325+'[1]DEKK AKMERKEZ'!AD326</f>
        <v>0</v>
      </c>
      <c r="AG468" s="18"/>
      <c r="AH468" s="18"/>
      <c r="AI468" s="35">
        <f>+'[1]DEKK AKMERKEZ'!AG323+'[1]DEKK AKMERKEZ'!AG324+'[1]DEKK AKMERKEZ'!AG325+'[1]DEKK AKMERKEZ'!AG326</f>
        <v>0</v>
      </c>
      <c r="AJ468" s="19"/>
      <c r="AK468" s="19"/>
      <c r="AL468" s="92">
        <f>+'[1]DEKK AKMERKEZ'!AJ323+'[1]DEKK AKMERKEZ'!AJ324+'[1]DEKK AKMERKEZ'!AJ325+'[1]DEKK AKMERKEZ'!AJ326</f>
        <v>0</v>
      </c>
    </row>
    <row r="469" spans="1:38" x14ac:dyDescent="0.25">
      <c r="A469" s="85" t="s">
        <v>71</v>
      </c>
      <c r="B469" s="32" t="s">
        <v>74</v>
      </c>
      <c r="C469" s="33" t="s">
        <v>35</v>
      </c>
      <c r="D469" s="34" t="s">
        <v>23</v>
      </c>
      <c r="E469" s="35">
        <f>+'[1]DEKK AKMERKEZ'!C327</f>
        <v>0</v>
      </c>
      <c r="F469" s="36"/>
      <c r="G469" s="36"/>
      <c r="H469" s="35">
        <f>+'[1]DEKK AKMERKEZ'!F327</f>
        <v>0</v>
      </c>
      <c r="I469" s="18"/>
      <c r="J469" s="18"/>
      <c r="K469" s="35">
        <f>+'[1]DEKK AKMERKEZ'!I327</f>
        <v>0</v>
      </c>
      <c r="L469" s="18"/>
      <c r="M469" s="18"/>
      <c r="N469" s="35">
        <f>+'[1]DEKK AKMERKEZ'!L327</f>
        <v>0</v>
      </c>
      <c r="O469" s="18"/>
      <c r="P469" s="18"/>
      <c r="Q469" s="35">
        <f>+'[1]DEKK AKMERKEZ'!O327</f>
        <v>0</v>
      </c>
      <c r="R469" s="18"/>
      <c r="S469" s="18"/>
      <c r="T469" s="35">
        <f>+'[1]DEKK AKMERKEZ'!R327</f>
        <v>0</v>
      </c>
      <c r="U469" s="18"/>
      <c r="V469" s="18"/>
      <c r="W469" s="35">
        <f>+'[1]DEKK AKMERKEZ'!U327</f>
        <v>0</v>
      </c>
      <c r="X469" s="18"/>
      <c r="Y469" s="18"/>
      <c r="Z469" s="35">
        <f>+'[1]DEKK AKMERKEZ'!X327</f>
        <v>0</v>
      </c>
      <c r="AA469" s="18"/>
      <c r="AB469" s="18"/>
      <c r="AC469" s="35">
        <f>+'[1]DEKK AKMERKEZ'!AA327</f>
        <v>0</v>
      </c>
      <c r="AD469" s="18"/>
      <c r="AE469" s="18"/>
      <c r="AF469" s="35">
        <f>+'[1]DEKK AKMERKEZ'!AD327</f>
        <v>0</v>
      </c>
      <c r="AG469" s="18"/>
      <c r="AH469" s="18"/>
      <c r="AI469" s="35">
        <f>+'[1]DEKK AKMERKEZ'!AG327</f>
        <v>0</v>
      </c>
      <c r="AJ469" s="19"/>
      <c r="AK469" s="19"/>
      <c r="AL469" s="92">
        <f>+'[1]DEKK AKMERKEZ'!AJ327</f>
        <v>0</v>
      </c>
    </row>
    <row r="470" spans="1:38" x14ac:dyDescent="0.25">
      <c r="A470" s="85" t="s">
        <v>71</v>
      </c>
      <c r="B470" s="32" t="s">
        <v>74</v>
      </c>
      <c r="C470" s="33" t="s">
        <v>36</v>
      </c>
      <c r="D470" s="34" t="s">
        <v>23</v>
      </c>
      <c r="E470" s="35">
        <f>+'[1]DEKK AKMERKEZ'!C328</f>
        <v>0</v>
      </c>
      <c r="F470" s="36"/>
      <c r="G470" s="36"/>
      <c r="H470" s="35">
        <f>+'[1]DEKK AKMERKEZ'!F328</f>
        <v>0</v>
      </c>
      <c r="I470" s="18"/>
      <c r="J470" s="18"/>
      <c r="K470" s="35">
        <f>+'[1]DEKK AKMERKEZ'!I328</f>
        <v>0</v>
      </c>
      <c r="L470" s="18"/>
      <c r="M470" s="18"/>
      <c r="N470" s="35">
        <f>+'[1]DEKK AKMERKEZ'!L328</f>
        <v>0</v>
      </c>
      <c r="O470" s="18"/>
      <c r="P470" s="18"/>
      <c r="Q470" s="35">
        <f>+'[1]DEKK AKMERKEZ'!O328</f>
        <v>0</v>
      </c>
      <c r="R470" s="18"/>
      <c r="S470" s="18"/>
      <c r="T470" s="35">
        <f>+'[1]DEKK AKMERKEZ'!R328</f>
        <v>0</v>
      </c>
      <c r="U470" s="18"/>
      <c r="V470" s="18"/>
      <c r="W470" s="35">
        <f>+'[1]DEKK AKMERKEZ'!U328</f>
        <v>0</v>
      </c>
      <c r="X470" s="18"/>
      <c r="Y470" s="18"/>
      <c r="Z470" s="35">
        <f>+'[1]DEKK AKMERKEZ'!X328</f>
        <v>0</v>
      </c>
      <c r="AA470" s="18"/>
      <c r="AB470" s="18"/>
      <c r="AC470" s="35">
        <f>+'[1]DEKK AKMERKEZ'!AA328</f>
        <v>0</v>
      </c>
      <c r="AD470" s="18"/>
      <c r="AE470" s="18"/>
      <c r="AF470" s="35">
        <f>+'[1]DEKK AKMERKEZ'!AD328</f>
        <v>0</v>
      </c>
      <c r="AG470" s="18"/>
      <c r="AH470" s="18"/>
      <c r="AI470" s="35">
        <f>+'[1]DEKK AKMERKEZ'!AG328</f>
        <v>0</v>
      </c>
      <c r="AJ470" s="19"/>
      <c r="AK470" s="19"/>
      <c r="AL470" s="92">
        <f>+'[1]DEKK AKMERKEZ'!AJ328</f>
        <v>0</v>
      </c>
    </row>
    <row r="471" spans="1:38" x14ac:dyDescent="0.25">
      <c r="A471" s="85" t="s">
        <v>71</v>
      </c>
      <c r="B471" s="32" t="s">
        <v>74</v>
      </c>
      <c r="C471" s="33" t="s">
        <v>37</v>
      </c>
      <c r="D471" s="34" t="s">
        <v>23</v>
      </c>
      <c r="E471" s="37">
        <f>SUM(E468:E470)</f>
        <v>88265.800872224834</v>
      </c>
      <c r="F471" s="38"/>
      <c r="G471" s="38"/>
      <c r="H471" s="37">
        <f>SUM(H468:H470)</f>
        <v>76283.48026409086</v>
      </c>
      <c r="I471" s="39"/>
      <c r="J471" s="39"/>
      <c r="K471" s="37">
        <f>SUM(K468:K470)</f>
        <v>80758.13</v>
      </c>
      <c r="L471" s="39"/>
      <c r="M471" s="39"/>
      <c r="N471" s="37">
        <f>SUM(N468:N470)</f>
        <v>82914.39</v>
      </c>
      <c r="O471" s="39"/>
      <c r="P471" s="39"/>
      <c r="Q471" s="37">
        <f>SUM(Q468:Q470)</f>
        <v>93308.969999999987</v>
      </c>
      <c r="R471" s="39"/>
      <c r="S471" s="39"/>
      <c r="T471" s="37">
        <f>SUM(T468:T470)</f>
        <v>80857.030314107556</v>
      </c>
      <c r="U471" s="39"/>
      <c r="V471" s="39"/>
      <c r="W471" s="37">
        <f>SUM(W468:W470)</f>
        <v>86096.200000000012</v>
      </c>
      <c r="X471" s="39"/>
      <c r="Y471" s="39"/>
      <c r="Z471" s="37">
        <f>SUM(Z468:Z470)</f>
        <v>0</v>
      </c>
      <c r="AA471" s="39"/>
      <c r="AB471" s="39"/>
      <c r="AC471" s="37">
        <f>SUM(AC468:AC470)</f>
        <v>0</v>
      </c>
      <c r="AD471" s="39"/>
      <c r="AE471" s="39"/>
      <c r="AF471" s="37">
        <f>SUM(AF468:AF470)</f>
        <v>0</v>
      </c>
      <c r="AG471" s="39"/>
      <c r="AH471" s="39"/>
      <c r="AI471" s="37">
        <f>SUM(AI468:AI470)</f>
        <v>0</v>
      </c>
      <c r="AJ471" s="40"/>
      <c r="AK471" s="40"/>
      <c r="AL471" s="93">
        <f>SUM(AL468:AL470)</f>
        <v>0</v>
      </c>
    </row>
    <row r="472" spans="1:38" x14ac:dyDescent="0.25">
      <c r="A472" s="73" t="s">
        <v>71</v>
      </c>
      <c r="B472" s="6" t="s">
        <v>74</v>
      </c>
      <c r="C472" s="7" t="s">
        <v>38</v>
      </c>
      <c r="D472" s="8" t="s">
        <v>23</v>
      </c>
      <c r="E472" s="28">
        <f>IFERROR(E471/E467,0)</f>
        <v>88265.800872224834</v>
      </c>
      <c r="F472" s="29"/>
      <c r="G472" s="29"/>
      <c r="H472" s="28">
        <f>IFERROR(H471/H467,0)</f>
        <v>76283.48026409086</v>
      </c>
      <c r="I472" s="30"/>
      <c r="J472" s="30"/>
      <c r="K472" s="28">
        <f>IFERROR(K471/K467,0)</f>
        <v>80758.13</v>
      </c>
      <c r="L472" s="30"/>
      <c r="M472" s="30"/>
      <c r="N472" s="28">
        <f>IFERROR(N471/N467,0)</f>
        <v>82914.39</v>
      </c>
      <c r="O472" s="30"/>
      <c r="P472" s="30"/>
      <c r="Q472" s="28">
        <f>IFERROR(Q471/Q467,0)</f>
        <v>93308.969999999987</v>
      </c>
      <c r="R472" s="30"/>
      <c r="S472" s="30"/>
      <c r="T472" s="28">
        <f>IFERROR(T471/T467,0)</f>
        <v>80857.030314107556</v>
      </c>
      <c r="U472" s="30"/>
      <c r="V472" s="30"/>
      <c r="W472" s="28">
        <f>IFERROR(W471/W467,0)</f>
        <v>86096.200000000012</v>
      </c>
      <c r="X472" s="30"/>
      <c r="Y472" s="30"/>
      <c r="Z472" s="28">
        <f>IFERROR(Z471/Z467,0)</f>
        <v>0</v>
      </c>
      <c r="AA472" s="30"/>
      <c r="AB472" s="30"/>
      <c r="AC472" s="28">
        <f>IFERROR(AC471/AC467,0)</f>
        <v>0</v>
      </c>
      <c r="AD472" s="30"/>
      <c r="AE472" s="30"/>
      <c r="AF472" s="28">
        <f>IFERROR(AF471/AF467,0)</f>
        <v>0</v>
      </c>
      <c r="AG472" s="30"/>
      <c r="AH472" s="30"/>
      <c r="AI472" s="28">
        <f>IFERROR(AI471/AI467,0)</f>
        <v>0</v>
      </c>
      <c r="AJ472" s="31"/>
      <c r="AK472" s="31"/>
      <c r="AL472" s="94">
        <f>IFERROR(AL471/AL467,0)</f>
        <v>0</v>
      </c>
    </row>
    <row r="473" spans="1:38" x14ac:dyDescent="0.25">
      <c r="A473" s="73" t="s">
        <v>71</v>
      </c>
      <c r="B473" s="6" t="s">
        <v>74</v>
      </c>
      <c r="C473" s="7" t="s">
        <v>39</v>
      </c>
      <c r="D473" s="8" t="s">
        <v>23</v>
      </c>
      <c r="E473" s="41">
        <f>+'[1]DEKK AKMERKEZ'!C352</f>
        <v>0</v>
      </c>
      <c r="F473" s="42"/>
      <c r="G473" s="42"/>
      <c r="H473" s="43">
        <f>+'[1]DEKK AKMERKEZ'!F352</f>
        <v>11632</v>
      </c>
      <c r="I473" s="43"/>
      <c r="J473" s="43"/>
      <c r="K473" s="43">
        <f>+'[1]DEKK AKMERKEZ'!I352</f>
        <v>7145.73</v>
      </c>
      <c r="L473" s="43"/>
      <c r="M473" s="43"/>
      <c r="N473" s="43">
        <f>+'[1]DEKK AKMERKEZ'!L352</f>
        <v>9814.19</v>
      </c>
      <c r="O473" s="43"/>
      <c r="P473" s="43"/>
      <c r="Q473" s="43">
        <f>+'[1]DEKK AKMERKEZ'!O352</f>
        <v>8877.6</v>
      </c>
      <c r="R473" s="43"/>
      <c r="S473" s="43"/>
      <c r="T473" s="43">
        <f>+'[1]DEKK AKMERKEZ'!R352</f>
        <v>7112.08</v>
      </c>
      <c r="U473" s="43"/>
      <c r="V473" s="43"/>
      <c r="W473" s="43">
        <f>+'[1]DEKK AKMERKEZ'!U352</f>
        <v>10278.42</v>
      </c>
      <c r="X473" s="43"/>
      <c r="Y473" s="43"/>
      <c r="Z473" s="43">
        <f>+'[1]DEKK AKMERKEZ'!X352</f>
        <v>0</v>
      </c>
      <c r="AA473" s="43"/>
      <c r="AB473" s="43"/>
      <c r="AC473" s="43">
        <f>+'[1]DEKK AKMERKEZ'!AA352</f>
        <v>0</v>
      </c>
      <c r="AD473" s="43"/>
      <c r="AE473" s="43"/>
      <c r="AF473" s="43">
        <f>+'[1]DEKK AKMERKEZ'!AD352</f>
        <v>0</v>
      </c>
      <c r="AG473" s="43"/>
      <c r="AH473" s="43"/>
      <c r="AI473" s="43">
        <f>+'[1]DEKK AKMERKEZ'!AG352</f>
        <v>0</v>
      </c>
      <c r="AJ473" s="44"/>
      <c r="AK473" s="44"/>
      <c r="AL473" s="95">
        <f>+'[1]DEKK AKMERKEZ'!AJ352</f>
        <v>0</v>
      </c>
    </row>
    <row r="474" spans="1:38" x14ac:dyDescent="0.25">
      <c r="A474" s="73" t="s">
        <v>71</v>
      </c>
      <c r="B474" s="6" t="s">
        <v>74</v>
      </c>
      <c r="C474" s="7" t="s">
        <v>40</v>
      </c>
      <c r="D474" s="34" t="s">
        <v>23</v>
      </c>
      <c r="E474" s="45">
        <f>+'[1]DEKK AKMERKEZ'!C353</f>
        <v>0</v>
      </c>
      <c r="F474" s="46"/>
      <c r="G474" s="46"/>
      <c r="H474" s="47">
        <f>+'[1]DEKK AKMERKEZ'!F353</f>
        <v>0</v>
      </c>
      <c r="I474" s="47"/>
      <c r="J474" s="47"/>
      <c r="K474" s="47">
        <f>+'[1]DEKK AKMERKEZ'!I353</f>
        <v>3013.35</v>
      </c>
      <c r="L474" s="47"/>
      <c r="M474" s="47"/>
      <c r="N474" s="47">
        <f>+'[1]DEKK AKMERKEZ'!L353</f>
        <v>2953.78</v>
      </c>
      <c r="O474" s="47"/>
      <c r="P474" s="47"/>
      <c r="Q474" s="47">
        <f>+'[1]DEKK AKMERKEZ'!O353</f>
        <v>1193.54</v>
      </c>
      <c r="R474" s="47"/>
      <c r="S474" s="47"/>
      <c r="T474" s="47">
        <f>+'[1]DEKK AKMERKEZ'!R353</f>
        <v>213.33</v>
      </c>
      <c r="U474" s="47"/>
      <c r="V474" s="47"/>
      <c r="W474" s="47">
        <f>+'[1]DEKK AKMERKEZ'!U353</f>
        <v>0</v>
      </c>
      <c r="X474" s="47"/>
      <c r="Y474" s="47"/>
      <c r="Z474" s="47">
        <f>+'[1]DEKK AKMERKEZ'!X353</f>
        <v>0</v>
      </c>
      <c r="AA474" s="47"/>
      <c r="AB474" s="47"/>
      <c r="AC474" s="47">
        <f>+'[1]DEKK AKMERKEZ'!AA353</f>
        <v>0</v>
      </c>
      <c r="AD474" s="47"/>
      <c r="AE474" s="47"/>
      <c r="AF474" s="47">
        <f>+'[1]DEKK AKMERKEZ'!AD353</f>
        <v>0</v>
      </c>
      <c r="AG474" s="47"/>
      <c r="AH474" s="47"/>
      <c r="AI474" s="47">
        <f>+'[1]DEKK AKMERKEZ'!AG353</f>
        <v>0</v>
      </c>
      <c r="AJ474" s="48"/>
      <c r="AK474" s="48"/>
      <c r="AL474" s="96">
        <f>+'[1]DEKK AKMERKEZ'!AJ353</f>
        <v>0</v>
      </c>
    </row>
    <row r="475" spans="1:38" x14ac:dyDescent="0.25">
      <c r="A475" s="73" t="s">
        <v>71</v>
      </c>
      <c r="B475" s="6" t="s">
        <v>74</v>
      </c>
      <c r="C475" s="7" t="s">
        <v>41</v>
      </c>
      <c r="D475" s="34" t="s">
        <v>23</v>
      </c>
      <c r="E475" s="45">
        <f>+'[1]DEKK AKMERKEZ'!C354</f>
        <v>1685.7</v>
      </c>
      <c r="F475" s="46"/>
      <c r="G475" s="46"/>
      <c r="H475" s="47">
        <f>+'[1]DEKK AKMERKEZ'!F354</f>
        <v>1535.28</v>
      </c>
      <c r="I475" s="47"/>
      <c r="J475" s="47"/>
      <c r="K475" s="47">
        <f>+'[1]DEKK AKMERKEZ'!I354</f>
        <v>1189.74</v>
      </c>
      <c r="L475" s="47"/>
      <c r="M475" s="47"/>
      <c r="N475" s="47">
        <f>+'[1]DEKK AKMERKEZ'!L354</f>
        <v>1826.01</v>
      </c>
      <c r="O475" s="47"/>
      <c r="P475" s="47"/>
      <c r="Q475" s="47">
        <f>+'[1]DEKK AKMERKEZ'!O354</f>
        <v>1460.34</v>
      </c>
      <c r="R475" s="47"/>
      <c r="S475" s="47"/>
      <c r="T475" s="47">
        <f>+'[1]DEKK AKMERKEZ'!R354</f>
        <v>859.16</v>
      </c>
      <c r="U475" s="47"/>
      <c r="V475" s="47"/>
      <c r="W475" s="47">
        <f>+'[1]DEKK AKMERKEZ'!U354</f>
        <v>2410.4299999999998</v>
      </c>
      <c r="X475" s="47"/>
      <c r="Y475" s="47"/>
      <c r="Z475" s="47">
        <f>+'[1]DEKK AKMERKEZ'!X354</f>
        <v>0</v>
      </c>
      <c r="AA475" s="47"/>
      <c r="AB475" s="47"/>
      <c r="AC475" s="47">
        <f>+'[1]DEKK AKMERKEZ'!AA354</f>
        <v>0</v>
      </c>
      <c r="AD475" s="47"/>
      <c r="AE475" s="47"/>
      <c r="AF475" s="47">
        <f>+'[1]DEKK AKMERKEZ'!AD354</f>
        <v>0</v>
      </c>
      <c r="AG475" s="47"/>
      <c r="AH475" s="47"/>
      <c r="AI475" s="47">
        <f>+'[1]DEKK AKMERKEZ'!AG354</f>
        <v>0</v>
      </c>
      <c r="AJ475" s="48"/>
      <c r="AK475" s="48"/>
      <c r="AL475" s="96">
        <f>+'[1]DEKK AKMERKEZ'!AJ354</f>
        <v>0</v>
      </c>
    </row>
    <row r="476" spans="1:38" x14ac:dyDescent="0.25">
      <c r="A476" s="73" t="s">
        <v>71</v>
      </c>
      <c r="B476" s="6" t="s">
        <v>74</v>
      </c>
      <c r="C476" s="7" t="s">
        <v>42</v>
      </c>
      <c r="D476" s="34" t="s">
        <v>43</v>
      </c>
      <c r="E476" s="97">
        <v>0</v>
      </c>
      <c r="F476" s="98"/>
      <c r="G476" s="98"/>
      <c r="H476" s="99">
        <v>0</v>
      </c>
      <c r="I476" s="99"/>
      <c r="J476" s="99"/>
      <c r="K476" s="99">
        <v>0</v>
      </c>
      <c r="L476" s="99"/>
      <c r="M476" s="99"/>
      <c r="N476" s="99">
        <v>0</v>
      </c>
      <c r="O476" s="99"/>
      <c r="P476" s="99"/>
      <c r="Q476" s="99">
        <v>0</v>
      </c>
      <c r="R476" s="99"/>
      <c r="S476" s="99"/>
      <c r="T476" s="99">
        <v>0</v>
      </c>
      <c r="U476" s="99"/>
      <c r="V476" s="99"/>
      <c r="W476" s="99">
        <v>0</v>
      </c>
      <c r="X476" s="99"/>
      <c r="Y476" s="99"/>
      <c r="Z476" s="99">
        <v>0</v>
      </c>
      <c r="AA476" s="99"/>
      <c r="AB476" s="99"/>
      <c r="AC476" s="99">
        <v>0</v>
      </c>
      <c r="AD476" s="99"/>
      <c r="AE476" s="99"/>
      <c r="AF476" s="99">
        <v>0</v>
      </c>
      <c r="AG476" s="99"/>
      <c r="AH476" s="99"/>
      <c r="AI476" s="99">
        <v>0</v>
      </c>
      <c r="AJ476" s="100"/>
      <c r="AK476" s="100"/>
      <c r="AL476" s="101">
        <v>0</v>
      </c>
    </row>
    <row r="477" spans="1:38" x14ac:dyDescent="0.25">
      <c r="A477" s="73" t="s">
        <v>71</v>
      </c>
      <c r="B477" s="6" t="s">
        <v>74</v>
      </c>
      <c r="C477" s="7" t="s">
        <v>44</v>
      </c>
      <c r="D477" s="34" t="s">
        <v>45</v>
      </c>
      <c r="E477" s="102">
        <v>0</v>
      </c>
      <c r="F477" s="103"/>
      <c r="G477" s="103"/>
      <c r="H477" s="104">
        <v>0</v>
      </c>
      <c r="I477" s="104"/>
      <c r="J477" s="104"/>
      <c r="K477" s="104">
        <v>0</v>
      </c>
      <c r="L477" s="104"/>
      <c r="M477" s="104"/>
      <c r="N477" s="104">
        <v>0</v>
      </c>
      <c r="O477" s="104"/>
      <c r="P477" s="104"/>
      <c r="Q477" s="104">
        <v>0</v>
      </c>
      <c r="R477" s="104"/>
      <c r="S477" s="104"/>
      <c r="T477" s="104">
        <v>0</v>
      </c>
      <c r="U477" s="104"/>
      <c r="V477" s="104"/>
      <c r="W477" s="104">
        <v>0</v>
      </c>
      <c r="X477" s="104"/>
      <c r="Y477" s="104"/>
      <c r="Z477" s="104">
        <v>0</v>
      </c>
      <c r="AA477" s="104"/>
      <c r="AB477" s="104"/>
      <c r="AC477" s="104">
        <v>0</v>
      </c>
      <c r="AD477" s="104"/>
      <c r="AE477" s="104"/>
      <c r="AF477" s="104">
        <v>0</v>
      </c>
      <c r="AG477" s="104"/>
      <c r="AH477" s="104"/>
      <c r="AI477" s="104">
        <v>0</v>
      </c>
      <c r="AJ477" s="105"/>
      <c r="AK477" s="105"/>
      <c r="AL477" s="106">
        <v>0</v>
      </c>
    </row>
    <row r="478" spans="1:38" x14ac:dyDescent="0.25">
      <c r="A478" s="73" t="s">
        <v>71</v>
      </c>
      <c r="B478" s="6" t="s">
        <v>74</v>
      </c>
      <c r="C478" s="7" t="s">
        <v>46</v>
      </c>
      <c r="D478" s="34" t="s">
        <v>45</v>
      </c>
      <c r="E478" s="107">
        <v>0</v>
      </c>
      <c r="F478" s="108"/>
      <c r="G478" s="108"/>
      <c r="H478" s="109">
        <v>0</v>
      </c>
      <c r="I478" s="109"/>
      <c r="J478" s="109"/>
      <c r="K478" s="109">
        <v>0</v>
      </c>
      <c r="L478" s="109"/>
      <c r="M478" s="109"/>
      <c r="N478" s="109">
        <v>0</v>
      </c>
      <c r="O478" s="109"/>
      <c r="P478" s="109"/>
      <c r="Q478" s="109">
        <v>0</v>
      </c>
      <c r="R478" s="109"/>
      <c r="S478" s="109"/>
      <c r="T478" s="109">
        <v>0</v>
      </c>
      <c r="U478" s="109"/>
      <c r="V478" s="109"/>
      <c r="W478" s="109">
        <v>0</v>
      </c>
      <c r="X478" s="109"/>
      <c r="Y478" s="109"/>
      <c r="Z478" s="109">
        <v>0</v>
      </c>
      <c r="AA478" s="109"/>
      <c r="AB478" s="109"/>
      <c r="AC478" s="109">
        <v>0</v>
      </c>
      <c r="AD478" s="109"/>
      <c r="AE478" s="109"/>
      <c r="AF478" s="109">
        <v>0</v>
      </c>
      <c r="AG478" s="109"/>
      <c r="AH478" s="109"/>
      <c r="AI478" s="109">
        <v>0</v>
      </c>
      <c r="AJ478" s="110"/>
      <c r="AK478" s="110"/>
      <c r="AL478" s="111">
        <v>0</v>
      </c>
    </row>
    <row r="479" spans="1:38" x14ac:dyDescent="0.25">
      <c r="A479" s="73" t="s">
        <v>71</v>
      </c>
      <c r="B479" s="6" t="s">
        <v>74</v>
      </c>
      <c r="C479" s="7" t="s">
        <v>47</v>
      </c>
      <c r="D479" s="8" t="s">
        <v>23</v>
      </c>
      <c r="E479" s="49">
        <f>IFERROR(+E473/E476,0)</f>
        <v>0</v>
      </c>
      <c r="F479" s="50"/>
      <c r="G479" s="50"/>
      <c r="H479" s="51">
        <f>IFERROR(+H473/H476,0)</f>
        <v>0</v>
      </c>
      <c r="I479" s="52"/>
      <c r="J479" s="52"/>
      <c r="K479" s="51">
        <f>IFERROR(+K473/K476,0)</f>
        <v>0</v>
      </c>
      <c r="L479" s="52"/>
      <c r="M479" s="52"/>
      <c r="N479" s="51">
        <f>IFERROR(+N473/N476,0)</f>
        <v>0</v>
      </c>
      <c r="O479" s="52"/>
      <c r="P479" s="52"/>
      <c r="Q479" s="51">
        <f>IFERROR(+Q473/Q476,0)</f>
        <v>0</v>
      </c>
      <c r="R479" s="52"/>
      <c r="S479" s="52"/>
      <c r="T479" s="51">
        <f>IFERROR(+T473/T476,0)</f>
        <v>0</v>
      </c>
      <c r="U479" s="52"/>
      <c r="V479" s="52"/>
      <c r="W479" s="51">
        <f>IFERROR(+W473/W476,0)</f>
        <v>0</v>
      </c>
      <c r="X479" s="52"/>
      <c r="Y479" s="52"/>
      <c r="Z479" s="51">
        <f>IFERROR(+Z473/Z476,0)</f>
        <v>0</v>
      </c>
      <c r="AA479" s="52"/>
      <c r="AB479" s="52"/>
      <c r="AC479" s="51">
        <f>IFERROR(+AC473/AC476,0)</f>
        <v>0</v>
      </c>
      <c r="AD479" s="52"/>
      <c r="AE479" s="52"/>
      <c r="AF479" s="51">
        <f>IFERROR(+AF473/AF476,0)</f>
        <v>0</v>
      </c>
      <c r="AG479" s="52"/>
      <c r="AH479" s="52"/>
      <c r="AI479" s="51">
        <f>IFERROR(+AI473/AI476,0)</f>
        <v>0</v>
      </c>
      <c r="AJ479" s="53"/>
      <c r="AK479" s="53"/>
      <c r="AL479" s="112">
        <f>IFERROR(+AL473/AL476,0)</f>
        <v>0</v>
      </c>
    </row>
    <row r="480" spans="1:38" x14ac:dyDescent="0.25">
      <c r="A480" s="73" t="s">
        <v>71</v>
      </c>
      <c r="B480" s="6" t="s">
        <v>74</v>
      </c>
      <c r="C480" s="7" t="s">
        <v>48</v>
      </c>
      <c r="D480" s="34" t="s">
        <v>23</v>
      </c>
      <c r="E480" s="49">
        <f>IFERROR(+E474/E477,0)</f>
        <v>0</v>
      </c>
      <c r="F480" s="50"/>
      <c r="G480" s="50"/>
      <c r="H480" s="51">
        <f>IFERROR(+H474/H477,0)</f>
        <v>0</v>
      </c>
      <c r="I480" s="52"/>
      <c r="J480" s="52"/>
      <c r="K480" s="51">
        <f>IFERROR(+K474/K477,0)</f>
        <v>0</v>
      </c>
      <c r="L480" s="52"/>
      <c r="M480" s="52"/>
      <c r="N480" s="51">
        <f>IFERROR(+N474/N477,0)</f>
        <v>0</v>
      </c>
      <c r="O480" s="52"/>
      <c r="P480" s="52"/>
      <c r="Q480" s="51">
        <f>IFERROR(+Q474/Q477,0)</f>
        <v>0</v>
      </c>
      <c r="R480" s="52"/>
      <c r="S480" s="52"/>
      <c r="T480" s="51">
        <f>IFERROR(+T474/T477,0)</f>
        <v>0</v>
      </c>
      <c r="U480" s="52"/>
      <c r="V480" s="52"/>
      <c r="W480" s="51">
        <f>IFERROR(+W474/W477,0)</f>
        <v>0</v>
      </c>
      <c r="X480" s="52"/>
      <c r="Y480" s="52"/>
      <c r="Z480" s="51">
        <f>IFERROR(+Z474/Z477,0)</f>
        <v>0</v>
      </c>
      <c r="AA480" s="52"/>
      <c r="AB480" s="52"/>
      <c r="AC480" s="51">
        <f>IFERROR(+AC474/AC477,0)</f>
        <v>0</v>
      </c>
      <c r="AD480" s="52"/>
      <c r="AE480" s="52"/>
      <c r="AF480" s="51">
        <f>IFERROR(+AF474/AF477,0)</f>
        <v>0</v>
      </c>
      <c r="AG480" s="52"/>
      <c r="AH480" s="52"/>
      <c r="AI480" s="51">
        <f>IFERROR(+AI474/AI477,0)</f>
        <v>0</v>
      </c>
      <c r="AJ480" s="53"/>
      <c r="AK480" s="53"/>
      <c r="AL480" s="112">
        <f>IFERROR(+AL474/AL477,0)</f>
        <v>0</v>
      </c>
    </row>
    <row r="481" spans="1:38" x14ac:dyDescent="0.25">
      <c r="A481" s="73" t="s">
        <v>71</v>
      </c>
      <c r="B481" s="6" t="s">
        <v>74</v>
      </c>
      <c r="C481" s="7" t="s">
        <v>49</v>
      </c>
      <c r="D481" s="34" t="s">
        <v>23</v>
      </c>
      <c r="E481" s="54">
        <f>IFERROR(+E475/E478,0)</f>
        <v>0</v>
      </c>
      <c r="F481" s="55"/>
      <c r="G481" s="55"/>
      <c r="H481" s="56">
        <f>IFERROR(+H475/H478,0)</f>
        <v>0</v>
      </c>
      <c r="I481" s="57"/>
      <c r="J481" s="57"/>
      <c r="K481" s="56">
        <f>IFERROR(+K475/K478,0)</f>
        <v>0</v>
      </c>
      <c r="L481" s="57"/>
      <c r="M481" s="57"/>
      <c r="N481" s="56">
        <f>IFERROR(+N475/N478,0)</f>
        <v>0</v>
      </c>
      <c r="O481" s="57"/>
      <c r="P481" s="57"/>
      <c r="Q481" s="56">
        <f>IFERROR(+Q475/Q478,0)</f>
        <v>0</v>
      </c>
      <c r="R481" s="57"/>
      <c r="S481" s="57"/>
      <c r="T481" s="56">
        <f>IFERROR(+T475/T478,0)</f>
        <v>0</v>
      </c>
      <c r="U481" s="57"/>
      <c r="V481" s="57"/>
      <c r="W481" s="56">
        <f>IFERROR(+W475/W478,0)</f>
        <v>0</v>
      </c>
      <c r="X481" s="57"/>
      <c r="Y481" s="57"/>
      <c r="Z481" s="56">
        <f>IFERROR(+Z475/Z478,0)</f>
        <v>0</v>
      </c>
      <c r="AA481" s="57"/>
      <c r="AB481" s="57"/>
      <c r="AC481" s="56">
        <f>IFERROR(+AC475/AC478,0)</f>
        <v>0</v>
      </c>
      <c r="AD481" s="57"/>
      <c r="AE481" s="57"/>
      <c r="AF481" s="56">
        <f>IFERROR(+AF475/AF478,0)</f>
        <v>0</v>
      </c>
      <c r="AG481" s="57"/>
      <c r="AH481" s="57"/>
      <c r="AI481" s="56">
        <f>IFERROR(+AI475/AI478,0)</f>
        <v>0</v>
      </c>
      <c r="AJ481" s="58"/>
      <c r="AK481" s="58"/>
      <c r="AL481" s="113">
        <f>IFERROR(+AL475/AL478,0)</f>
        <v>0</v>
      </c>
    </row>
    <row r="482" spans="1:38" x14ac:dyDescent="0.25">
      <c r="A482" s="73" t="s">
        <v>71</v>
      </c>
      <c r="B482" s="6" t="s">
        <v>74</v>
      </c>
      <c r="C482" s="7" t="s">
        <v>50</v>
      </c>
      <c r="D482" s="8" t="s">
        <v>23</v>
      </c>
      <c r="E482" s="59">
        <f>+'[1]DEKK AKMERKEZ'!C379</f>
        <v>79075.66</v>
      </c>
      <c r="F482" s="60"/>
      <c r="G482" s="60"/>
      <c r="H482" s="61">
        <f>+'[1]DEKK AKMERKEZ'!F379</f>
        <v>65675.039999999994</v>
      </c>
      <c r="I482" s="61"/>
      <c r="J482" s="61"/>
      <c r="K482" s="61">
        <f>+'[1]DEKK AKMERKEZ'!I379</f>
        <v>66597.429999999993</v>
      </c>
      <c r="L482" s="61"/>
      <c r="M482" s="61"/>
      <c r="N482" s="61">
        <f>+'[1]DEKK AKMERKEZ'!L379</f>
        <v>74083.259999999995</v>
      </c>
      <c r="O482" s="61"/>
      <c r="P482" s="61"/>
      <c r="Q482" s="61">
        <f>+'[1]DEKK AKMERKEZ'!O379</f>
        <v>69517.490000000005</v>
      </c>
      <c r="R482" s="61"/>
      <c r="S482" s="61"/>
      <c r="T482" s="61">
        <f>+'[1]DEKK AKMERKEZ'!R379</f>
        <v>70022.53</v>
      </c>
      <c r="U482" s="61"/>
      <c r="V482" s="61"/>
      <c r="W482" s="61">
        <f>+'[1]DEKK AKMERKEZ'!U379</f>
        <v>58932.56</v>
      </c>
      <c r="X482" s="61"/>
      <c r="Y482" s="61"/>
      <c r="Z482" s="61">
        <f>+'[1]DEKK AKMERKEZ'!X379</f>
        <v>0</v>
      </c>
      <c r="AA482" s="61"/>
      <c r="AB482" s="61"/>
      <c r="AC482" s="61">
        <f>+'[1]DEKK AKMERKEZ'!AA379</f>
        <v>0</v>
      </c>
      <c r="AD482" s="61"/>
      <c r="AE482" s="61"/>
      <c r="AF482" s="61">
        <f>+'[1]DEKK AKMERKEZ'!AD379</f>
        <v>0</v>
      </c>
      <c r="AG482" s="61"/>
      <c r="AH482" s="61"/>
      <c r="AI482" s="61">
        <f>+'[1]DEKK AKMERKEZ'!AG379</f>
        <v>0</v>
      </c>
      <c r="AJ482" s="62"/>
      <c r="AK482" s="62"/>
      <c r="AL482" s="114">
        <f>+'[1]DEKK AKMERKEZ'!AJ379</f>
        <v>0</v>
      </c>
    </row>
    <row r="483" spans="1:38" x14ac:dyDescent="0.25">
      <c r="A483" s="73" t="s">
        <v>71</v>
      </c>
      <c r="B483" s="6" t="s">
        <v>74</v>
      </c>
      <c r="C483" s="7" t="s">
        <v>51</v>
      </c>
      <c r="D483" s="8" t="s">
        <v>20</v>
      </c>
      <c r="E483" s="9"/>
      <c r="F483" s="10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2"/>
      <c r="AK483" s="12"/>
      <c r="AL483" s="74"/>
    </row>
    <row r="484" spans="1:38" x14ac:dyDescent="0.25">
      <c r="A484" s="85" t="s">
        <v>71</v>
      </c>
      <c r="B484" s="32" t="s">
        <v>74</v>
      </c>
      <c r="C484" s="33" t="s">
        <v>52</v>
      </c>
      <c r="D484" s="34" t="s">
        <v>23</v>
      </c>
      <c r="E484" s="24">
        <f>+'[1]DEKK AKMERKEZ'!C387</f>
        <v>0</v>
      </c>
      <c r="F484" s="25"/>
      <c r="G484" s="25"/>
      <c r="H484" s="26">
        <f>+'[1]DEKK AKMERKEZ'!F387</f>
        <v>0</v>
      </c>
      <c r="I484" s="26"/>
      <c r="J484" s="26"/>
      <c r="K484" s="26">
        <f>+'[1]DEKK AKMERKEZ'!I387</f>
        <v>0</v>
      </c>
      <c r="L484" s="26"/>
      <c r="M484" s="26"/>
      <c r="N484" s="26">
        <f>+'[1]DEKK AKMERKEZ'!L387</f>
        <v>0</v>
      </c>
      <c r="O484" s="26"/>
      <c r="P484" s="26"/>
      <c r="Q484" s="26">
        <f>+'[1]DEKK AKMERKEZ'!O387</f>
        <v>0</v>
      </c>
      <c r="R484" s="26"/>
      <c r="S484" s="26"/>
      <c r="T484" s="26">
        <f>+'[1]DEKK AKMERKEZ'!R387</f>
        <v>0</v>
      </c>
      <c r="U484" s="26"/>
      <c r="V484" s="26"/>
      <c r="W484" s="26">
        <f>+'[1]DEKK AKMERKEZ'!U387</f>
        <v>0</v>
      </c>
      <c r="X484" s="26"/>
      <c r="Y484" s="26"/>
      <c r="Z484" s="26">
        <f>+'[1]DEKK AKMERKEZ'!X387</f>
        <v>0</v>
      </c>
      <c r="AA484" s="26"/>
      <c r="AB484" s="26"/>
      <c r="AC484" s="26">
        <f>+'[1]DEKK AKMERKEZ'!AA387</f>
        <v>0</v>
      </c>
      <c r="AD484" s="26"/>
      <c r="AE484" s="26"/>
      <c r="AF484" s="26">
        <f>+'[1]DEKK AKMERKEZ'!AD387</f>
        <v>0</v>
      </c>
      <c r="AG484" s="26"/>
      <c r="AH484" s="26"/>
      <c r="AI484" s="26">
        <f>+'[1]DEKK AKMERKEZ'!AG387</f>
        <v>0</v>
      </c>
      <c r="AJ484" s="27"/>
      <c r="AK484" s="27"/>
      <c r="AL484" s="78">
        <f>+'[1]DEKK AKMERKEZ'!AJ387</f>
        <v>0</v>
      </c>
    </row>
    <row r="485" spans="1:38" x14ac:dyDescent="0.25">
      <c r="A485" s="85" t="s">
        <v>71</v>
      </c>
      <c r="B485" s="32" t="s">
        <v>74</v>
      </c>
      <c r="C485" s="33" t="s">
        <v>53</v>
      </c>
      <c r="D485" s="34" t="s">
        <v>23</v>
      </c>
      <c r="E485" s="28">
        <f>+'[1]DEKK AKMERKEZ'!C396-'[1]DEKK AKMERKEZ'!C329-'[1]DEKK AKMERKEZ'!C334-'[1]DEKK AKMERKEZ'!C351-'[1]DEKK AKMERKEZ'!C379-'[1]DEKK AKMERKEZ'!C387</f>
        <v>75076.309999999969</v>
      </c>
      <c r="F485" s="29"/>
      <c r="G485" s="29"/>
      <c r="H485" s="30">
        <f>+'[1]DEKK AKMERKEZ'!F396-'[1]DEKK AKMERKEZ'!F329-'[1]DEKK AKMERKEZ'!F334-'[1]DEKK AKMERKEZ'!F351-'[1]DEKK AKMERKEZ'!F379-'[1]DEKK AKMERKEZ'!F387</f>
        <v>75244.829999999944</v>
      </c>
      <c r="I485" s="30"/>
      <c r="J485" s="30"/>
      <c r="K485" s="30">
        <f>+'[1]DEKK AKMERKEZ'!I396-'[1]DEKK AKMERKEZ'!I329-'[1]DEKK AKMERKEZ'!I334-'[1]DEKK AKMERKEZ'!I351-'[1]DEKK AKMERKEZ'!I379-'[1]DEKK AKMERKEZ'!I387</f>
        <v>79434.549999999988</v>
      </c>
      <c r="L485" s="30"/>
      <c r="M485" s="30"/>
      <c r="N485" s="30">
        <f>+'[1]DEKK AKMERKEZ'!L396-'[1]DEKK AKMERKEZ'!L329-'[1]DEKK AKMERKEZ'!L334-'[1]DEKK AKMERKEZ'!L351-'[1]DEKK AKMERKEZ'!L379-'[1]DEKK AKMERKEZ'!L387</f>
        <v>83547.720000000016</v>
      </c>
      <c r="O485" s="30"/>
      <c r="P485" s="30"/>
      <c r="Q485" s="30">
        <f>+'[1]DEKK AKMERKEZ'!O396-'[1]DEKK AKMERKEZ'!O329-'[1]DEKK AKMERKEZ'!O334-'[1]DEKK AKMERKEZ'!O351-'[1]DEKK AKMERKEZ'!O379-'[1]DEKK AKMERKEZ'!O387</f>
        <v>78118.779999999984</v>
      </c>
      <c r="R485" s="30"/>
      <c r="S485" s="30"/>
      <c r="T485" s="30">
        <f>+'[1]DEKK AKMERKEZ'!R396-'[1]DEKK AKMERKEZ'!R329-'[1]DEKK AKMERKEZ'!R334-'[1]DEKK AKMERKEZ'!R351-'[1]DEKK AKMERKEZ'!R379-'[1]DEKK AKMERKEZ'!R387</f>
        <v>80126.760000000009</v>
      </c>
      <c r="U485" s="30"/>
      <c r="V485" s="30"/>
      <c r="W485" s="30">
        <f>+'[1]DEKK AKMERKEZ'!U396-'[1]DEKK AKMERKEZ'!U329-'[1]DEKK AKMERKEZ'!U334-'[1]DEKK AKMERKEZ'!U351-'[1]DEKK AKMERKEZ'!U379-'[1]DEKK AKMERKEZ'!U387</f>
        <v>84134.979999999981</v>
      </c>
      <c r="X485" s="30"/>
      <c r="Y485" s="30"/>
      <c r="Z485" s="30">
        <f>+'[1]DEKK AKMERKEZ'!X396-'[1]DEKK AKMERKEZ'!X329-'[1]DEKK AKMERKEZ'!X334-'[1]DEKK AKMERKEZ'!X351-'[1]DEKK AKMERKEZ'!X379-'[1]DEKK AKMERKEZ'!X387</f>
        <v>0</v>
      </c>
      <c r="AA485" s="30"/>
      <c r="AB485" s="30"/>
      <c r="AC485" s="30">
        <f>+'[1]DEKK AKMERKEZ'!AA396-'[1]DEKK AKMERKEZ'!AA329-'[1]DEKK AKMERKEZ'!AA334-'[1]DEKK AKMERKEZ'!AA351-'[1]DEKK AKMERKEZ'!AA379-'[1]DEKK AKMERKEZ'!AA387</f>
        <v>0</v>
      </c>
      <c r="AD485" s="30"/>
      <c r="AE485" s="30"/>
      <c r="AF485" s="30">
        <f>+'[1]DEKK AKMERKEZ'!AD396-'[1]DEKK AKMERKEZ'!AD329-'[1]DEKK AKMERKEZ'!AD334-'[1]DEKK AKMERKEZ'!AD351-'[1]DEKK AKMERKEZ'!AD379-'[1]DEKK AKMERKEZ'!AD387</f>
        <v>0</v>
      </c>
      <c r="AG485" s="30"/>
      <c r="AH485" s="30"/>
      <c r="AI485" s="30">
        <f>+'[1]DEKK AKMERKEZ'!AG396-'[1]DEKK AKMERKEZ'!AG329-'[1]DEKK AKMERKEZ'!AG334-'[1]DEKK AKMERKEZ'!AG351-'[1]DEKK AKMERKEZ'!AG379-'[1]DEKK AKMERKEZ'!AG387</f>
        <v>0</v>
      </c>
      <c r="AJ485" s="31"/>
      <c r="AK485" s="31"/>
      <c r="AL485" s="79">
        <f>+'[1]DEKK AKMERKEZ'!AJ396-'[1]DEKK AKMERKEZ'!AJ329-'[1]DEKK AKMERKEZ'!AJ334-'[1]DEKK AKMERKEZ'!AJ351-'[1]DEKK AKMERKEZ'!AJ379-'[1]DEKK AKMERKEZ'!AJ387</f>
        <v>0</v>
      </c>
    </row>
    <row r="486" spans="1:38" x14ac:dyDescent="0.25">
      <c r="A486" s="85" t="s">
        <v>71</v>
      </c>
      <c r="B486" s="32" t="s">
        <v>74</v>
      </c>
      <c r="C486" s="33" t="s">
        <v>54</v>
      </c>
      <c r="D486" s="34" t="s">
        <v>23</v>
      </c>
      <c r="E486" s="59">
        <f>+E461+E462+E471+E473+E474+E475+E482+E484+E485</f>
        <v>346053.91087222483</v>
      </c>
      <c r="F486" s="60"/>
      <c r="G486" s="60"/>
      <c r="H486" s="61">
        <f>+H461+H462+H471+H473+H474+H475+H482+H484+H485</f>
        <v>317583.23026409082</v>
      </c>
      <c r="I486" s="61"/>
      <c r="J486" s="61"/>
      <c r="K486" s="61">
        <f>+K461+K462+K471+K473+K474+K475+K482+K484+K485</f>
        <v>346676.12</v>
      </c>
      <c r="L486" s="61"/>
      <c r="M486" s="61"/>
      <c r="N486" s="61">
        <f>+N461+N462+N471+N473+N474+N475+N482+N484+N485</f>
        <v>341123.65</v>
      </c>
      <c r="O486" s="61"/>
      <c r="P486" s="61"/>
      <c r="Q486" s="61">
        <f>+Q461+Q462+Q471+Q473+Q474+Q475+Q482+Q484+Q485</f>
        <v>417093.7699999999</v>
      </c>
      <c r="R486" s="61"/>
      <c r="S486" s="61"/>
      <c r="T486" s="61">
        <f>+T461+T462+T471+T473+T474+T475+T482+T484+T485</f>
        <v>389472.90031410754</v>
      </c>
      <c r="U486" s="61"/>
      <c r="V486" s="61"/>
      <c r="W486" s="61">
        <f>+W461+W462+W471+W473+W474+W475+W482+W484+W485</f>
        <v>377499.42</v>
      </c>
      <c r="X486" s="61"/>
      <c r="Y486" s="61"/>
      <c r="Z486" s="61">
        <f>+Z461+Z462+Z471+Z473+Z474+Z475+Z482+Z484+Z485</f>
        <v>0</v>
      </c>
      <c r="AA486" s="61"/>
      <c r="AB486" s="61"/>
      <c r="AC486" s="61">
        <f>+AC461+AC462+AC471+AC473+AC474+AC475+AC482+AC484+AC485</f>
        <v>0</v>
      </c>
      <c r="AD486" s="61"/>
      <c r="AE486" s="61"/>
      <c r="AF486" s="61">
        <f>+AF461+AF462+AF471+AF473+AF474+AF475+AF482+AF484+AF485</f>
        <v>0</v>
      </c>
      <c r="AG486" s="61"/>
      <c r="AH486" s="61"/>
      <c r="AI486" s="61">
        <f>+AI461+AI462+AI471+AI473+AI474+AI475+AI482+AI484+AI485</f>
        <v>0</v>
      </c>
      <c r="AJ486" s="62"/>
      <c r="AK486" s="62"/>
      <c r="AL486" s="114">
        <f>+AL461+AL462+AL471+AL473+AL474+AL475+AL482+AL484+AL485</f>
        <v>0</v>
      </c>
    </row>
    <row r="487" spans="1:38" ht="15.75" thickBot="1" x14ac:dyDescent="0.3">
      <c r="A487" s="115" t="s">
        <v>71</v>
      </c>
      <c r="B487" s="116" t="s">
        <v>74</v>
      </c>
      <c r="C487" s="117" t="s">
        <v>55</v>
      </c>
      <c r="D487" s="118" t="s">
        <v>23</v>
      </c>
      <c r="E487" s="119">
        <f>+E486-'[1]DEKK AKMERKEZ'!C396</f>
        <v>0</v>
      </c>
      <c r="F487" s="120"/>
      <c r="G487" s="120"/>
      <c r="H487" s="121">
        <f>+H486-'[1]DEKK AKMERKEZ'!F396</f>
        <v>0</v>
      </c>
      <c r="I487" s="121"/>
      <c r="J487" s="121"/>
      <c r="K487" s="121">
        <f>+K486-'[1]DEKK AKMERKEZ'!I396</f>
        <v>0</v>
      </c>
      <c r="L487" s="121"/>
      <c r="M487" s="121"/>
      <c r="N487" s="121">
        <f>+N486-'[1]DEKK AKMERKEZ'!L396</f>
        <v>0</v>
      </c>
      <c r="O487" s="121"/>
      <c r="P487" s="121"/>
      <c r="Q487" s="121">
        <f>+Q486-'[1]DEKK AKMERKEZ'!O396</f>
        <v>0</v>
      </c>
      <c r="R487" s="121"/>
      <c r="S487" s="121"/>
      <c r="T487" s="121">
        <f>+T486-'[1]DEKK AKMERKEZ'!R396</f>
        <v>0</v>
      </c>
      <c r="U487" s="121"/>
      <c r="V487" s="121"/>
      <c r="W487" s="121">
        <f>+W486-'[1]DEKK AKMERKEZ'!U396</f>
        <v>0</v>
      </c>
      <c r="X487" s="121"/>
      <c r="Y487" s="121"/>
      <c r="Z487" s="121">
        <f>+Z486-'[1]DEKK AKMERKEZ'!X396</f>
        <v>0</v>
      </c>
      <c r="AA487" s="121"/>
      <c r="AB487" s="121"/>
      <c r="AC487" s="121">
        <f>+AC486-'[1]DEKK AKMERKEZ'!AA396</f>
        <v>0</v>
      </c>
      <c r="AD487" s="121"/>
      <c r="AE487" s="121"/>
      <c r="AF487" s="121">
        <f>+AF486-'[1]DEKK AKMERKEZ'!AD396</f>
        <v>0</v>
      </c>
      <c r="AG487" s="121"/>
      <c r="AH487" s="121"/>
      <c r="AI487" s="121">
        <f>+AI486-'[1]DEKK AKMERKEZ'!AG396</f>
        <v>0</v>
      </c>
      <c r="AJ487" s="122"/>
      <c r="AK487" s="122"/>
      <c r="AL487" s="123">
        <f>+AL486-'[1]DEKK AKMERKEZ'!AJ396</f>
        <v>0</v>
      </c>
    </row>
    <row r="488" spans="1:38" x14ac:dyDescent="0.25">
      <c r="A488" s="64" t="s">
        <v>71</v>
      </c>
      <c r="B488" s="65" t="s">
        <v>75</v>
      </c>
      <c r="C488" s="66" t="s">
        <v>19</v>
      </c>
      <c r="D488" s="67" t="s">
        <v>20</v>
      </c>
      <c r="E488" s="68">
        <f>+'[1]DEKK AKMERKEZ'!C410</f>
        <v>636</v>
      </c>
      <c r="F488" s="69"/>
      <c r="G488" s="69"/>
      <c r="H488" s="70">
        <f>+'[1]DEKK AKMERKEZ'!F410</f>
        <v>429</v>
      </c>
      <c r="I488" s="70"/>
      <c r="J488" s="70"/>
      <c r="K488" s="70">
        <f>+'[1]DEKK AKMERKEZ'!I410</f>
        <v>486</v>
      </c>
      <c r="L488" s="70"/>
      <c r="M488" s="70"/>
      <c r="N488" s="70">
        <f>+'[1]DEKK AKMERKEZ'!L410</f>
        <v>546</v>
      </c>
      <c r="O488" s="70"/>
      <c r="P488" s="70"/>
      <c r="Q488" s="70">
        <f>+'[1]DEKK AKMERKEZ'!O410</f>
        <v>501</v>
      </c>
      <c r="R488" s="70"/>
      <c r="S488" s="70"/>
      <c r="T488" s="70">
        <f>+'[1]DEKK AKMERKEZ'!R410</f>
        <v>482</v>
      </c>
      <c r="U488" s="70"/>
      <c r="V488" s="70"/>
      <c r="W488" s="70">
        <f>+'[1]DEKK AKMERKEZ'!U410</f>
        <v>384</v>
      </c>
      <c r="X488" s="70"/>
      <c r="Y488" s="70"/>
      <c r="Z488" s="70">
        <f>+'[1]DEKK AKMERKEZ'!X410</f>
        <v>0</v>
      </c>
      <c r="AA488" s="70"/>
      <c r="AB488" s="70"/>
      <c r="AC488" s="70">
        <f>+'[1]DEKK AKMERKEZ'!AA410</f>
        <v>0</v>
      </c>
      <c r="AD488" s="70"/>
      <c r="AE488" s="70"/>
      <c r="AF488" s="70">
        <f>+'[1]DEKK AKMERKEZ'!AD410</f>
        <v>0</v>
      </c>
      <c r="AG488" s="70"/>
      <c r="AH488" s="70"/>
      <c r="AI488" s="70">
        <f>+'[1]DEKK AKMERKEZ'!AG410</f>
        <v>0</v>
      </c>
      <c r="AJ488" s="71"/>
      <c r="AK488" s="71"/>
      <c r="AL488" s="72">
        <f>+'[1]DEKK AKMERKEZ'!AJ410</f>
        <v>0</v>
      </c>
    </row>
    <row r="489" spans="1:38" x14ac:dyDescent="0.25">
      <c r="A489" s="73" t="s">
        <v>71</v>
      </c>
      <c r="B489" s="6" t="s">
        <v>75</v>
      </c>
      <c r="C489" s="7" t="s">
        <v>21</v>
      </c>
      <c r="D489" s="8" t="s">
        <v>20</v>
      </c>
      <c r="E489" s="9"/>
      <c r="F489" s="10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2"/>
      <c r="AK489" s="12"/>
      <c r="AL489" s="74"/>
    </row>
    <row r="490" spans="1:38" x14ac:dyDescent="0.25">
      <c r="A490" s="73" t="s">
        <v>71</v>
      </c>
      <c r="B490" s="6" t="s">
        <v>75</v>
      </c>
      <c r="C490" s="7" t="s">
        <v>22</v>
      </c>
      <c r="D490" s="8" t="s">
        <v>23</v>
      </c>
      <c r="E490" s="13">
        <f>+'[1]DEKK AKMERKEZ'!C405</f>
        <v>292743.55999999994</v>
      </c>
      <c r="F490" s="14"/>
      <c r="G490" s="14"/>
      <c r="H490" s="15">
        <f>+'[1]DEKK AKMERKEZ'!F405</f>
        <v>264610.2</v>
      </c>
      <c r="I490" s="14"/>
      <c r="J490" s="14"/>
      <c r="K490" s="13">
        <f>+'[1]DEKK AKMERKEZ'!I405</f>
        <v>192559.33999999997</v>
      </c>
      <c r="L490" s="14"/>
      <c r="M490" s="14"/>
      <c r="N490" s="15">
        <f>+'[1]DEKK AKMERKEZ'!L405</f>
        <v>180886.5</v>
      </c>
      <c r="O490" s="15"/>
      <c r="P490" s="15"/>
      <c r="Q490" s="15">
        <f>+'[1]DEKK AKMERKEZ'!O405</f>
        <v>177800.88</v>
      </c>
      <c r="R490" s="15"/>
      <c r="S490" s="15"/>
      <c r="T490" s="15">
        <f>+'[1]DEKK AKMERKEZ'!R405</f>
        <v>165090.29</v>
      </c>
      <c r="U490" s="15"/>
      <c r="V490" s="15"/>
      <c r="W490" s="15">
        <f>+'[1]DEKK AKMERKEZ'!U405</f>
        <v>145517.20000000001</v>
      </c>
      <c r="X490" s="15"/>
      <c r="Y490" s="15"/>
      <c r="Z490" s="15">
        <f>+'[1]DEKK AKMERKEZ'!X405</f>
        <v>0</v>
      </c>
      <c r="AA490" s="15"/>
      <c r="AB490" s="15"/>
      <c r="AC490" s="15">
        <f>+'[1]DEKK AKMERKEZ'!AA405</f>
        <v>0</v>
      </c>
      <c r="AD490" s="15"/>
      <c r="AE490" s="15"/>
      <c r="AF490" s="15">
        <f>+'[1]DEKK AKMERKEZ'!AD405</f>
        <v>0</v>
      </c>
      <c r="AG490" s="15"/>
      <c r="AH490" s="15"/>
      <c r="AI490" s="15">
        <f>+'[1]DEKK AKMERKEZ'!AG405</f>
        <v>0</v>
      </c>
      <c r="AJ490" s="16"/>
      <c r="AK490" s="16"/>
      <c r="AL490" s="75">
        <f>+'[1]DEKK AKMERKEZ'!AJ405</f>
        <v>0</v>
      </c>
    </row>
    <row r="491" spans="1:38" x14ac:dyDescent="0.25">
      <c r="A491" s="73" t="s">
        <v>71</v>
      </c>
      <c r="B491" s="6" t="s">
        <v>75</v>
      </c>
      <c r="C491" s="7" t="s">
        <v>24</v>
      </c>
      <c r="D491" s="8" t="s">
        <v>23</v>
      </c>
      <c r="E491" s="13">
        <f>+'[1]DEKK AKMERKEZ'!C406</f>
        <v>37425.329999999994</v>
      </c>
      <c r="F491" s="17"/>
      <c r="G491" s="17"/>
      <c r="H491" s="18">
        <f>+'[1]DEKK AKMERKEZ'!F406</f>
        <v>28291.42</v>
      </c>
      <c r="I491" s="18"/>
      <c r="J491" s="18"/>
      <c r="K491" s="18">
        <f>+'[1]DEKK AKMERKEZ'!I406</f>
        <v>25230.82</v>
      </c>
      <c r="L491" s="18"/>
      <c r="M491" s="18"/>
      <c r="N491" s="18">
        <f>+'[1]DEKK AKMERKEZ'!L406</f>
        <v>27168.950000000004</v>
      </c>
      <c r="O491" s="18"/>
      <c r="P491" s="18"/>
      <c r="Q491" s="18">
        <f>+'[1]DEKK AKMERKEZ'!O406</f>
        <v>26675</v>
      </c>
      <c r="R491" s="18"/>
      <c r="S491" s="18"/>
      <c r="T491" s="18">
        <f>+'[1]DEKK AKMERKEZ'!R406</f>
        <v>24929.879999999997</v>
      </c>
      <c r="U491" s="18"/>
      <c r="V491" s="18"/>
      <c r="W491" s="18">
        <f>+'[1]DEKK AKMERKEZ'!U406</f>
        <v>14570.839999999998</v>
      </c>
      <c r="X491" s="18"/>
      <c r="Y491" s="18"/>
      <c r="Z491" s="18">
        <f>+'[1]DEKK AKMERKEZ'!X406</f>
        <v>0</v>
      </c>
      <c r="AA491" s="18"/>
      <c r="AB491" s="18"/>
      <c r="AC491" s="18">
        <f>+'[1]DEKK AKMERKEZ'!AA406</f>
        <v>0</v>
      </c>
      <c r="AD491" s="18"/>
      <c r="AE491" s="18"/>
      <c r="AF491" s="18">
        <f>+'[1]DEKK AKMERKEZ'!AD406</f>
        <v>0</v>
      </c>
      <c r="AG491" s="18"/>
      <c r="AH491" s="18"/>
      <c r="AI491" s="18">
        <f>+'[1]DEKK AKMERKEZ'!AG406</f>
        <v>0</v>
      </c>
      <c r="AJ491" s="19"/>
      <c r="AK491" s="19"/>
      <c r="AL491" s="76">
        <f>+'[1]DEKK AKMERKEZ'!AJ406</f>
        <v>0</v>
      </c>
    </row>
    <row r="492" spans="1:38" x14ac:dyDescent="0.25">
      <c r="A492" s="73" t="s">
        <v>71</v>
      </c>
      <c r="B492" s="6" t="s">
        <v>75</v>
      </c>
      <c r="C492" s="7" t="s">
        <v>25</v>
      </c>
      <c r="D492" s="8" t="s">
        <v>23</v>
      </c>
      <c r="E492" s="20">
        <f>+'[1]DEKK AKMERKEZ'!C409-'[1]DEKK AKMERKEZ'!C405-'[1]DEKK AKMERKEZ'!C406</f>
        <v>46977.02000000004</v>
      </c>
      <c r="F492" s="21"/>
      <c r="G492" s="21"/>
      <c r="H492" s="22">
        <f>+'[1]DEKK AKMERKEZ'!F409-'[1]DEKK AKMERKEZ'!F405-'[1]DEKK AKMERKEZ'!F406</f>
        <v>53452.999999999985</v>
      </c>
      <c r="I492" s="22"/>
      <c r="J492" s="22"/>
      <c r="K492" s="22">
        <f>+'[1]DEKK AKMERKEZ'!I409-'[1]DEKK AKMERKEZ'!I405-'[1]DEKK AKMERKEZ'!I406</f>
        <v>15020.42000000002</v>
      </c>
      <c r="L492" s="22"/>
      <c r="M492" s="22"/>
      <c r="N492" s="22">
        <f>+'[1]DEKK AKMERKEZ'!L409-'[1]DEKK AKMERKEZ'!L405-'[1]DEKK AKMERKEZ'!L406</f>
        <v>0</v>
      </c>
      <c r="O492" s="22"/>
      <c r="P492" s="22"/>
      <c r="Q492" s="22">
        <f>+'[1]DEKK AKMERKEZ'!O409-'[1]DEKK AKMERKEZ'!O405-'[1]DEKK AKMERKEZ'!O406</f>
        <v>0</v>
      </c>
      <c r="R492" s="22"/>
      <c r="S492" s="22"/>
      <c r="T492" s="22">
        <f>+'[1]DEKK AKMERKEZ'!R409-'[1]DEKK AKMERKEZ'!R405-'[1]DEKK AKMERKEZ'!R406</f>
        <v>0</v>
      </c>
      <c r="U492" s="22"/>
      <c r="V492" s="22"/>
      <c r="W492" s="22">
        <f>+'[1]DEKK AKMERKEZ'!U409-'[1]DEKK AKMERKEZ'!U405-'[1]DEKK AKMERKEZ'!U406</f>
        <v>0</v>
      </c>
      <c r="X492" s="22"/>
      <c r="Y492" s="22"/>
      <c r="Z492" s="22">
        <f>+'[1]DEKK AKMERKEZ'!X409-'[1]DEKK AKMERKEZ'!X405-'[1]DEKK AKMERKEZ'!X406</f>
        <v>0</v>
      </c>
      <c r="AA492" s="22"/>
      <c r="AB492" s="22"/>
      <c r="AC492" s="22">
        <f>+'[1]DEKK AKMERKEZ'!AA409-'[1]DEKK AKMERKEZ'!AA405-'[1]DEKK AKMERKEZ'!AA406</f>
        <v>0</v>
      </c>
      <c r="AD492" s="22"/>
      <c r="AE492" s="22"/>
      <c r="AF492" s="22">
        <f>+'[1]DEKK AKMERKEZ'!AD409-'[1]DEKK AKMERKEZ'!AD405-'[1]DEKK AKMERKEZ'!AD406</f>
        <v>0</v>
      </c>
      <c r="AG492" s="22"/>
      <c r="AH492" s="22"/>
      <c r="AI492" s="22">
        <f>+'[1]DEKK AKMERKEZ'!AG409-'[1]DEKK AKMERKEZ'!AG405-'[1]DEKK AKMERKEZ'!AG406</f>
        <v>0</v>
      </c>
      <c r="AJ492" s="23"/>
      <c r="AK492" s="23"/>
      <c r="AL492" s="77">
        <f>+'[1]DEKK AKMERKEZ'!AJ409-'[1]DEKK AKMERKEZ'!AJ405-'[1]DEKK AKMERKEZ'!AJ406</f>
        <v>0</v>
      </c>
    </row>
    <row r="493" spans="1:38" x14ac:dyDescent="0.25">
      <c r="A493" s="73" t="s">
        <v>71</v>
      </c>
      <c r="B493" s="6" t="s">
        <v>75</v>
      </c>
      <c r="C493" s="7" t="s">
        <v>26</v>
      </c>
      <c r="D493" s="8" t="s">
        <v>23</v>
      </c>
      <c r="E493" s="24">
        <f>+'[1]DEKK AKMERKEZ'!C430</f>
        <v>21877.66</v>
      </c>
      <c r="F493" s="25"/>
      <c r="G493" s="25"/>
      <c r="H493" s="26">
        <f>+'[1]DEKK AKMERKEZ'!F430</f>
        <v>0</v>
      </c>
      <c r="I493" s="26"/>
      <c r="J493" s="26"/>
      <c r="K493" s="26">
        <f>+'[1]DEKK AKMERKEZ'!I430</f>
        <v>102241.74</v>
      </c>
      <c r="L493" s="26"/>
      <c r="M493" s="26"/>
      <c r="N493" s="26">
        <f>+'[1]DEKK AKMERKEZ'!L430</f>
        <v>81296.490000000005</v>
      </c>
      <c r="O493" s="26"/>
      <c r="P493" s="26"/>
      <c r="Q493" s="26">
        <f>+'[1]DEKK AKMERKEZ'!O430</f>
        <v>71833.929999999993</v>
      </c>
      <c r="R493" s="26"/>
      <c r="S493" s="26"/>
      <c r="T493" s="26">
        <f>+'[1]DEKK AKMERKEZ'!R430</f>
        <v>99651.16</v>
      </c>
      <c r="U493" s="26"/>
      <c r="V493" s="26"/>
      <c r="W493" s="26">
        <f>+'[1]DEKK AKMERKEZ'!U430</f>
        <v>92330.489999999991</v>
      </c>
      <c r="X493" s="26"/>
      <c r="Y493" s="26"/>
      <c r="Z493" s="26">
        <f>+'[1]DEKK AKMERKEZ'!X430</f>
        <v>0</v>
      </c>
      <c r="AA493" s="26"/>
      <c r="AB493" s="26"/>
      <c r="AC493" s="26">
        <f>+'[1]DEKK AKMERKEZ'!AA430</f>
        <v>0</v>
      </c>
      <c r="AD493" s="26"/>
      <c r="AE493" s="26"/>
      <c r="AF493" s="26">
        <f>+'[1]DEKK AKMERKEZ'!AD430</f>
        <v>0</v>
      </c>
      <c r="AG493" s="26"/>
      <c r="AH493" s="26"/>
      <c r="AI493" s="26">
        <f>+'[1]DEKK AKMERKEZ'!AG430</f>
        <v>0</v>
      </c>
      <c r="AJ493" s="27"/>
      <c r="AK493" s="27"/>
      <c r="AL493" s="78">
        <f>+'[1]DEKK AKMERKEZ'!AJ430</f>
        <v>0</v>
      </c>
    </row>
    <row r="494" spans="1:38" x14ac:dyDescent="0.25">
      <c r="A494" s="73" t="s">
        <v>71</v>
      </c>
      <c r="B494" s="6" t="s">
        <v>75</v>
      </c>
      <c r="C494" s="7" t="s">
        <v>27</v>
      </c>
      <c r="D494" s="8" t="s">
        <v>23</v>
      </c>
      <c r="E494" s="28">
        <f>+'[1]DEKK AKMERKEZ'!C431</f>
        <v>10280.439999999999</v>
      </c>
      <c r="F494" s="29"/>
      <c r="G494" s="29"/>
      <c r="H494" s="30">
        <f>+'[1]DEKK AKMERKEZ'!F431</f>
        <v>0</v>
      </c>
      <c r="I494" s="30"/>
      <c r="J494" s="30"/>
      <c r="K494" s="30">
        <f>+'[1]DEKK AKMERKEZ'!I431</f>
        <v>8248.83</v>
      </c>
      <c r="L494" s="30"/>
      <c r="M494" s="30"/>
      <c r="N494" s="30">
        <f>+'[1]DEKK AKMERKEZ'!L431</f>
        <v>18395.78</v>
      </c>
      <c r="O494" s="30"/>
      <c r="P494" s="30"/>
      <c r="Q494" s="30">
        <f>+'[1]DEKK AKMERKEZ'!O431</f>
        <v>13101.18</v>
      </c>
      <c r="R494" s="30"/>
      <c r="S494" s="30"/>
      <c r="T494" s="30">
        <f>+'[1]DEKK AKMERKEZ'!R431</f>
        <v>14565.15</v>
      </c>
      <c r="U494" s="30"/>
      <c r="V494" s="30"/>
      <c r="W494" s="30">
        <f>+'[1]DEKK AKMERKEZ'!U431</f>
        <v>9397.43</v>
      </c>
      <c r="X494" s="30"/>
      <c r="Y494" s="30"/>
      <c r="Z494" s="30">
        <f>+'[1]DEKK AKMERKEZ'!X431</f>
        <v>0</v>
      </c>
      <c r="AA494" s="30"/>
      <c r="AB494" s="30"/>
      <c r="AC494" s="30">
        <f>+'[1]DEKK AKMERKEZ'!AA431</f>
        <v>0</v>
      </c>
      <c r="AD494" s="30"/>
      <c r="AE494" s="30"/>
      <c r="AF494" s="30">
        <f>+'[1]DEKK AKMERKEZ'!AD431</f>
        <v>0</v>
      </c>
      <c r="AG494" s="30"/>
      <c r="AH494" s="30"/>
      <c r="AI494" s="30">
        <f>+'[1]DEKK AKMERKEZ'!AG431</f>
        <v>0</v>
      </c>
      <c r="AJ494" s="31"/>
      <c r="AK494" s="31"/>
      <c r="AL494" s="79">
        <f>+'[1]DEKK AKMERKEZ'!AJ431</f>
        <v>0</v>
      </c>
    </row>
    <row r="495" spans="1:38" x14ac:dyDescent="0.25">
      <c r="A495" s="73" t="s">
        <v>71</v>
      </c>
      <c r="B495" s="6" t="s">
        <v>75</v>
      </c>
      <c r="C495" s="7" t="s">
        <v>28</v>
      </c>
      <c r="D495" s="8" t="s">
        <v>29</v>
      </c>
      <c r="E495" s="124">
        <f>+'[1]DEKK AKMERKEZ'!C414</f>
        <v>0</v>
      </c>
      <c r="F495" s="125"/>
      <c r="G495" s="125"/>
      <c r="H495" s="126">
        <f>+'[1]DEKK AKMERKEZ'!F414</f>
        <v>0</v>
      </c>
      <c r="I495" s="126"/>
      <c r="J495" s="126"/>
      <c r="K495" s="126">
        <f>+'[1]DEKK AKMERKEZ'!I414</f>
        <v>0</v>
      </c>
      <c r="L495" s="126"/>
      <c r="M495" s="126"/>
      <c r="N495" s="126">
        <f>+'[1]DEKK AKMERKEZ'!L414</f>
        <v>0</v>
      </c>
      <c r="O495" s="126"/>
      <c r="P495" s="126"/>
      <c r="Q495" s="126">
        <f>+'[1]DEKK AKMERKEZ'!O414</f>
        <v>0</v>
      </c>
      <c r="R495" s="126"/>
      <c r="S495" s="126"/>
      <c r="T495" s="126">
        <f>+'[1]DEKK AKMERKEZ'!R414</f>
        <v>0</v>
      </c>
      <c r="U495" s="126"/>
      <c r="V495" s="126"/>
      <c r="W495" s="126">
        <f>+'[1]DEKK AKMERKEZ'!U414</f>
        <v>0</v>
      </c>
      <c r="X495" s="126"/>
      <c r="Y495" s="126"/>
      <c r="Z495" s="126">
        <f>+'[1]DEKK AKMERKEZ'!X414</f>
        <v>0</v>
      </c>
      <c r="AA495" s="126"/>
      <c r="AB495" s="126"/>
      <c r="AC495" s="126">
        <f>+'[1]DEKK AKMERKEZ'!AA414</f>
        <v>0</v>
      </c>
      <c r="AD495" s="126"/>
      <c r="AE495" s="126"/>
      <c r="AF495" s="126">
        <f>+'[1]DEKK AKMERKEZ'!AD414</f>
        <v>0</v>
      </c>
      <c r="AG495" s="126"/>
      <c r="AH495" s="126"/>
      <c r="AI495" s="126">
        <f>+'[1]DEKK AKMERKEZ'!AG414</f>
        <v>0</v>
      </c>
      <c r="AJ495" s="127"/>
      <c r="AK495" s="127"/>
      <c r="AL495" s="128">
        <f>+'[1]DEKK AKMERKEZ'!AJ414</f>
        <v>0</v>
      </c>
    </row>
    <row r="496" spans="1:38" x14ac:dyDescent="0.25">
      <c r="A496" s="85" t="s">
        <v>71</v>
      </c>
      <c r="B496" s="32" t="s">
        <v>75</v>
      </c>
      <c r="C496" s="33" t="s">
        <v>30</v>
      </c>
      <c r="D496" s="34" t="s">
        <v>29</v>
      </c>
      <c r="E496" s="129">
        <f>+'[1]DEKK AKMERKEZ'!C415</f>
        <v>0</v>
      </c>
      <c r="F496" s="130"/>
      <c r="G496" s="130"/>
      <c r="H496" s="131">
        <f>+'[1]DEKK AKMERKEZ'!F415</f>
        <v>0</v>
      </c>
      <c r="I496" s="131"/>
      <c r="J496" s="131"/>
      <c r="K496" s="131">
        <f>+'[1]DEKK AKMERKEZ'!I415</f>
        <v>1</v>
      </c>
      <c r="L496" s="131"/>
      <c r="M496" s="131"/>
      <c r="N496" s="131">
        <f>+'[1]DEKK AKMERKEZ'!L415</f>
        <v>1</v>
      </c>
      <c r="O496" s="131"/>
      <c r="P496" s="131"/>
      <c r="Q496" s="131">
        <f>+'[1]DEKK AKMERKEZ'!O415</f>
        <v>0.87</v>
      </c>
      <c r="R496" s="131"/>
      <c r="S496" s="131"/>
      <c r="T496" s="131">
        <f>+'[1]DEKK AKMERKEZ'!R415</f>
        <v>0.96</v>
      </c>
      <c r="U496" s="131"/>
      <c r="V496" s="131"/>
      <c r="W496" s="131">
        <f>+'[1]DEKK AKMERKEZ'!U415</f>
        <v>0.9</v>
      </c>
      <c r="X496" s="131"/>
      <c r="Y496" s="131"/>
      <c r="Z496" s="131">
        <f>+'[1]DEKK AKMERKEZ'!X415</f>
        <v>0</v>
      </c>
      <c r="AA496" s="131"/>
      <c r="AB496" s="131"/>
      <c r="AC496" s="131">
        <f>+'[1]DEKK AKMERKEZ'!AA415</f>
        <v>0</v>
      </c>
      <c r="AD496" s="131"/>
      <c r="AE496" s="131"/>
      <c r="AF496" s="131">
        <f>+'[1]DEKK AKMERKEZ'!AD415</f>
        <v>0</v>
      </c>
      <c r="AG496" s="131"/>
      <c r="AH496" s="131"/>
      <c r="AI496" s="131">
        <f>+'[1]DEKK AKMERKEZ'!AG415</f>
        <v>0</v>
      </c>
      <c r="AJ496" s="132"/>
      <c r="AK496" s="132"/>
      <c r="AL496" s="133">
        <f>+'[1]DEKK AKMERKEZ'!AJ415</f>
        <v>0</v>
      </c>
    </row>
    <row r="497" spans="1:38" x14ac:dyDescent="0.25">
      <c r="A497" s="85" t="s">
        <v>71</v>
      </c>
      <c r="B497" s="32" t="s">
        <v>75</v>
      </c>
      <c r="C497" s="33" t="s">
        <v>31</v>
      </c>
      <c r="D497" s="34" t="s">
        <v>29</v>
      </c>
      <c r="E497" s="129">
        <f>+'[1]DEKK AKMERKEZ'!C416</f>
        <v>0</v>
      </c>
      <c r="F497" s="130"/>
      <c r="G497" s="130"/>
      <c r="H497" s="131">
        <f>+'[1]DEKK AKMERKEZ'!F416</f>
        <v>0</v>
      </c>
      <c r="I497" s="131"/>
      <c r="J497" s="131"/>
      <c r="K497" s="131">
        <f>+'[1]DEKK AKMERKEZ'!I416</f>
        <v>0</v>
      </c>
      <c r="L497" s="131"/>
      <c r="M497" s="131"/>
      <c r="N497" s="131">
        <f>+'[1]DEKK AKMERKEZ'!L416</f>
        <v>0</v>
      </c>
      <c r="O497" s="131"/>
      <c r="P497" s="131"/>
      <c r="Q497" s="131">
        <f>+'[1]DEKK AKMERKEZ'!O416</f>
        <v>0</v>
      </c>
      <c r="R497" s="131"/>
      <c r="S497" s="131"/>
      <c r="T497" s="131">
        <f>+'[1]DEKK AKMERKEZ'!R416</f>
        <v>0</v>
      </c>
      <c r="U497" s="131"/>
      <c r="V497" s="131"/>
      <c r="W497" s="131">
        <f>+'[1]DEKK AKMERKEZ'!U416</f>
        <v>0</v>
      </c>
      <c r="X497" s="131"/>
      <c r="Y497" s="131"/>
      <c r="Z497" s="131">
        <f>+'[1]DEKK AKMERKEZ'!X416</f>
        <v>0</v>
      </c>
      <c r="AA497" s="131"/>
      <c r="AB497" s="131"/>
      <c r="AC497" s="131">
        <f>+'[1]DEKK AKMERKEZ'!AA416</f>
        <v>0</v>
      </c>
      <c r="AD497" s="131"/>
      <c r="AE497" s="131"/>
      <c r="AF497" s="131">
        <f>+'[1]DEKK AKMERKEZ'!AD416</f>
        <v>0</v>
      </c>
      <c r="AG497" s="131"/>
      <c r="AH497" s="131"/>
      <c r="AI497" s="131">
        <f>+'[1]DEKK AKMERKEZ'!AG416</f>
        <v>0</v>
      </c>
      <c r="AJ497" s="132"/>
      <c r="AK497" s="132"/>
      <c r="AL497" s="133">
        <f>+'[1]DEKK AKMERKEZ'!AJ416</f>
        <v>0</v>
      </c>
    </row>
    <row r="498" spans="1:38" x14ac:dyDescent="0.25">
      <c r="A498" s="85" t="s">
        <v>71</v>
      </c>
      <c r="B498" s="32" t="s">
        <v>75</v>
      </c>
      <c r="C498" s="33" t="s">
        <v>32</v>
      </c>
      <c r="D498" s="34" t="s">
        <v>29</v>
      </c>
      <c r="E498" s="129">
        <f>+'[1]DEKK AKMERKEZ'!C417</f>
        <v>0</v>
      </c>
      <c r="F498" s="130"/>
      <c r="G498" s="130"/>
      <c r="H498" s="131">
        <f>+'[1]DEKK AKMERKEZ'!F417</f>
        <v>0</v>
      </c>
      <c r="I498" s="131"/>
      <c r="J498" s="131"/>
      <c r="K498" s="131">
        <f>+'[1]DEKK AKMERKEZ'!I417</f>
        <v>0</v>
      </c>
      <c r="L498" s="131"/>
      <c r="M498" s="131"/>
      <c r="N498" s="131">
        <f>+'[1]DEKK AKMERKEZ'!L417</f>
        <v>0</v>
      </c>
      <c r="O498" s="131"/>
      <c r="P498" s="131"/>
      <c r="Q498" s="131">
        <f>+'[1]DEKK AKMERKEZ'!O417</f>
        <v>0</v>
      </c>
      <c r="R498" s="131"/>
      <c r="S498" s="131"/>
      <c r="T498" s="131">
        <f>+'[1]DEKK AKMERKEZ'!R417</f>
        <v>0</v>
      </c>
      <c r="U498" s="131"/>
      <c r="V498" s="131"/>
      <c r="W498" s="131">
        <f>+'[1]DEKK AKMERKEZ'!U417</f>
        <v>0</v>
      </c>
      <c r="X498" s="131"/>
      <c r="Y498" s="131"/>
      <c r="Z498" s="131">
        <f>+'[1]DEKK AKMERKEZ'!X417</f>
        <v>0</v>
      </c>
      <c r="AA498" s="131"/>
      <c r="AB498" s="131"/>
      <c r="AC498" s="131">
        <f>+'[1]DEKK AKMERKEZ'!AA417</f>
        <v>0</v>
      </c>
      <c r="AD498" s="131"/>
      <c r="AE498" s="131"/>
      <c r="AF498" s="131">
        <f>+'[1]DEKK AKMERKEZ'!AD417</f>
        <v>0</v>
      </c>
      <c r="AG498" s="131"/>
      <c r="AH498" s="131"/>
      <c r="AI498" s="131">
        <f>+'[1]DEKK AKMERKEZ'!AG417</f>
        <v>0</v>
      </c>
      <c r="AJ498" s="132"/>
      <c r="AK498" s="132"/>
      <c r="AL498" s="133">
        <f>+'[1]DEKK AKMERKEZ'!AJ417</f>
        <v>0</v>
      </c>
    </row>
    <row r="499" spans="1:38" x14ac:dyDescent="0.25">
      <c r="A499" s="85" t="s">
        <v>71</v>
      </c>
      <c r="B499" s="32" t="s">
        <v>75</v>
      </c>
      <c r="C499" s="33" t="s">
        <v>33</v>
      </c>
      <c r="D499" s="34" t="s">
        <v>29</v>
      </c>
      <c r="E499" s="129">
        <f>SUM(E495:E498)</f>
        <v>0</v>
      </c>
      <c r="F499" s="130"/>
      <c r="G499" s="130"/>
      <c r="H499" s="129">
        <f>SUM(H495:H498)</f>
        <v>0</v>
      </c>
      <c r="I499" s="131"/>
      <c r="J499" s="131"/>
      <c r="K499" s="129">
        <f>SUM(K495:K498)</f>
        <v>1</v>
      </c>
      <c r="L499" s="131"/>
      <c r="M499" s="131"/>
      <c r="N499" s="129">
        <f>SUM(N495:N498)</f>
        <v>1</v>
      </c>
      <c r="O499" s="131"/>
      <c r="P499" s="131"/>
      <c r="Q499" s="129">
        <f>SUM(Q495:Q498)</f>
        <v>0.87</v>
      </c>
      <c r="R499" s="131"/>
      <c r="S499" s="131"/>
      <c r="T499" s="129">
        <f>SUM(T495:T498)</f>
        <v>0.96</v>
      </c>
      <c r="U499" s="131"/>
      <c r="V499" s="131"/>
      <c r="W499" s="129">
        <f>SUM(W495:W498)</f>
        <v>0.9</v>
      </c>
      <c r="X499" s="131"/>
      <c r="Y499" s="131"/>
      <c r="Z499" s="129">
        <f>SUM(Z495:Z498)</f>
        <v>0</v>
      </c>
      <c r="AA499" s="131"/>
      <c r="AB499" s="131"/>
      <c r="AC499" s="129">
        <f>SUM(AC495:AC498)</f>
        <v>0</v>
      </c>
      <c r="AD499" s="131"/>
      <c r="AE499" s="131"/>
      <c r="AF499" s="129">
        <f>SUM(AF495:AF498)</f>
        <v>0</v>
      </c>
      <c r="AG499" s="131"/>
      <c r="AH499" s="131"/>
      <c r="AI499" s="129">
        <f>SUM(AI495:AI498)</f>
        <v>0</v>
      </c>
      <c r="AJ499" s="132"/>
      <c r="AK499" s="132"/>
      <c r="AL499" s="134">
        <f>SUM(AL495:AL498)</f>
        <v>0</v>
      </c>
    </row>
    <row r="500" spans="1:38" x14ac:dyDescent="0.25">
      <c r="A500" s="85" t="s">
        <v>71</v>
      </c>
      <c r="B500" s="32" t="s">
        <v>75</v>
      </c>
      <c r="C500" s="33" t="s">
        <v>34</v>
      </c>
      <c r="D500" s="34" t="s">
        <v>23</v>
      </c>
      <c r="E500" s="35">
        <f>+'[1]DEKK AKMERKEZ'!C421+'[1]DEKK AKMERKEZ'!C422+'[1]DEKK AKMERKEZ'!C423+'[1]DEKK AKMERKEZ'!C424</f>
        <v>0</v>
      </c>
      <c r="F500" s="36"/>
      <c r="G500" s="36"/>
      <c r="H500" s="35">
        <f>+'[1]DEKK AKMERKEZ'!F421+'[1]DEKK AKMERKEZ'!F422+'[1]DEKK AKMERKEZ'!F423+'[1]DEKK AKMERKEZ'!F424</f>
        <v>0</v>
      </c>
      <c r="I500" s="18"/>
      <c r="J500" s="18"/>
      <c r="K500" s="35">
        <f>+'[1]DEKK AKMERKEZ'!I421+'[1]DEKK AKMERKEZ'!I422+'[1]DEKK AKMERKEZ'!I423+'[1]DEKK AKMERKEZ'!I424</f>
        <v>0</v>
      </c>
      <c r="L500" s="18"/>
      <c r="M500" s="18"/>
      <c r="N500" s="35">
        <f>+'[1]DEKK AKMERKEZ'!L421+'[1]DEKK AKMERKEZ'!L422+'[1]DEKK AKMERKEZ'!L423+'[1]DEKK AKMERKEZ'!L424</f>
        <v>0</v>
      </c>
      <c r="O500" s="18"/>
      <c r="P500" s="18"/>
      <c r="Q500" s="35">
        <f>+'[1]DEKK AKMERKEZ'!O421+'[1]DEKK AKMERKEZ'!O422+'[1]DEKK AKMERKEZ'!O423+'[1]DEKK AKMERKEZ'!O424</f>
        <v>0</v>
      </c>
      <c r="R500" s="18"/>
      <c r="S500" s="18"/>
      <c r="T500" s="35">
        <f>+'[1]DEKK AKMERKEZ'!R421+'[1]DEKK AKMERKEZ'!R422+'[1]DEKK AKMERKEZ'!R423+'[1]DEKK AKMERKEZ'!R424</f>
        <v>0</v>
      </c>
      <c r="U500" s="18"/>
      <c r="V500" s="18"/>
      <c r="W500" s="35">
        <f>+'[1]DEKK AKMERKEZ'!U421+'[1]DEKK AKMERKEZ'!U422+'[1]DEKK AKMERKEZ'!U423+'[1]DEKK AKMERKEZ'!U424</f>
        <v>0</v>
      </c>
      <c r="X500" s="18"/>
      <c r="Y500" s="18"/>
      <c r="Z500" s="35">
        <f>+'[1]DEKK AKMERKEZ'!X421+'[1]DEKK AKMERKEZ'!X422+'[1]DEKK AKMERKEZ'!X423+'[1]DEKK AKMERKEZ'!X424</f>
        <v>0</v>
      </c>
      <c r="AA500" s="18"/>
      <c r="AB500" s="18"/>
      <c r="AC500" s="35">
        <f>+'[1]DEKK AKMERKEZ'!AA421+'[1]DEKK AKMERKEZ'!AA422+'[1]DEKK AKMERKEZ'!AA423+'[1]DEKK AKMERKEZ'!AA424</f>
        <v>0</v>
      </c>
      <c r="AD500" s="18"/>
      <c r="AE500" s="18"/>
      <c r="AF500" s="35">
        <f>+'[1]DEKK AKMERKEZ'!AD421+'[1]DEKK AKMERKEZ'!AD422+'[1]DEKK AKMERKEZ'!AD423+'[1]DEKK AKMERKEZ'!AD424</f>
        <v>0</v>
      </c>
      <c r="AG500" s="18"/>
      <c r="AH500" s="18"/>
      <c r="AI500" s="35">
        <f>+'[1]DEKK AKMERKEZ'!AG421+'[1]DEKK AKMERKEZ'!AG422+'[1]DEKK AKMERKEZ'!AG423+'[1]DEKK AKMERKEZ'!AG424</f>
        <v>0</v>
      </c>
      <c r="AJ500" s="19"/>
      <c r="AK500" s="19"/>
      <c r="AL500" s="92">
        <f>+'[1]DEKK AKMERKEZ'!AJ421+'[1]DEKK AKMERKEZ'!AJ422+'[1]DEKK AKMERKEZ'!AJ423+'[1]DEKK AKMERKEZ'!AJ424</f>
        <v>0</v>
      </c>
    </row>
    <row r="501" spans="1:38" x14ac:dyDescent="0.25">
      <c r="A501" s="85" t="s">
        <v>71</v>
      </c>
      <c r="B501" s="32" t="s">
        <v>75</v>
      </c>
      <c r="C501" s="33" t="s">
        <v>35</v>
      </c>
      <c r="D501" s="34" t="s">
        <v>23</v>
      </c>
      <c r="E501" s="35">
        <f>+'[1]DEKK AKMERKEZ'!C425</f>
        <v>0</v>
      </c>
      <c r="F501" s="36"/>
      <c r="G501" s="36"/>
      <c r="H501" s="35">
        <f>+'[1]DEKK AKMERKEZ'!F425</f>
        <v>0</v>
      </c>
      <c r="I501" s="18"/>
      <c r="J501" s="18"/>
      <c r="K501" s="35">
        <f>+'[1]DEKK AKMERKEZ'!I425</f>
        <v>159609.70000000001</v>
      </c>
      <c r="L501" s="18"/>
      <c r="M501" s="18"/>
      <c r="N501" s="35">
        <f>+'[1]DEKK AKMERKEZ'!L425</f>
        <v>167290.84</v>
      </c>
      <c r="O501" s="18"/>
      <c r="P501" s="18"/>
      <c r="Q501" s="35">
        <f>+'[1]DEKK AKMERKEZ'!O425</f>
        <v>168808.2</v>
      </c>
      <c r="R501" s="18"/>
      <c r="S501" s="18"/>
      <c r="T501" s="35">
        <f>+'[1]DEKK AKMERKEZ'!R425</f>
        <v>150628.09999999998</v>
      </c>
      <c r="U501" s="18"/>
      <c r="V501" s="18"/>
      <c r="W501" s="35">
        <f>+'[1]DEKK AKMERKEZ'!U425</f>
        <v>85611.17</v>
      </c>
      <c r="X501" s="18"/>
      <c r="Y501" s="18"/>
      <c r="Z501" s="35">
        <f>+'[1]DEKK AKMERKEZ'!X425</f>
        <v>0</v>
      </c>
      <c r="AA501" s="18"/>
      <c r="AB501" s="18"/>
      <c r="AC501" s="35">
        <f>+'[1]DEKK AKMERKEZ'!AA425</f>
        <v>0</v>
      </c>
      <c r="AD501" s="18"/>
      <c r="AE501" s="18"/>
      <c r="AF501" s="35">
        <f>+'[1]DEKK AKMERKEZ'!AD425</f>
        <v>0</v>
      </c>
      <c r="AG501" s="18"/>
      <c r="AH501" s="18"/>
      <c r="AI501" s="35">
        <f>+'[1]DEKK AKMERKEZ'!AG425</f>
        <v>0</v>
      </c>
      <c r="AJ501" s="19"/>
      <c r="AK501" s="19"/>
      <c r="AL501" s="92">
        <f>+'[1]DEKK AKMERKEZ'!AJ425</f>
        <v>0</v>
      </c>
    </row>
    <row r="502" spans="1:38" x14ac:dyDescent="0.25">
      <c r="A502" s="85" t="s">
        <v>71</v>
      </c>
      <c r="B502" s="32" t="s">
        <v>75</v>
      </c>
      <c r="C502" s="33" t="s">
        <v>36</v>
      </c>
      <c r="D502" s="34" t="s">
        <v>23</v>
      </c>
      <c r="E502" s="35">
        <f>+'[1]DEKK AKMERKEZ'!C426</f>
        <v>0</v>
      </c>
      <c r="F502" s="36"/>
      <c r="G502" s="36"/>
      <c r="H502" s="35">
        <f>+'[1]DEKK AKMERKEZ'!F426</f>
        <v>0</v>
      </c>
      <c r="I502" s="18"/>
      <c r="J502" s="18"/>
      <c r="K502" s="35">
        <f>+'[1]DEKK AKMERKEZ'!I426</f>
        <v>0</v>
      </c>
      <c r="L502" s="18"/>
      <c r="M502" s="18"/>
      <c r="N502" s="35">
        <f>+'[1]DEKK AKMERKEZ'!L426</f>
        <v>0</v>
      </c>
      <c r="O502" s="18"/>
      <c r="P502" s="18"/>
      <c r="Q502" s="35">
        <f>+'[1]DEKK AKMERKEZ'!O426</f>
        <v>0</v>
      </c>
      <c r="R502" s="18"/>
      <c r="S502" s="18"/>
      <c r="T502" s="35">
        <f>+'[1]DEKK AKMERKEZ'!R426</f>
        <v>0</v>
      </c>
      <c r="U502" s="18"/>
      <c r="V502" s="18"/>
      <c r="W502" s="35">
        <f>+'[1]DEKK AKMERKEZ'!U426</f>
        <v>96456.25</v>
      </c>
      <c r="X502" s="18"/>
      <c r="Y502" s="18"/>
      <c r="Z502" s="35">
        <f>+'[1]DEKK AKMERKEZ'!X426</f>
        <v>0</v>
      </c>
      <c r="AA502" s="18"/>
      <c r="AB502" s="18"/>
      <c r="AC502" s="35">
        <f>+'[1]DEKK AKMERKEZ'!AA426</f>
        <v>0</v>
      </c>
      <c r="AD502" s="18"/>
      <c r="AE502" s="18"/>
      <c r="AF502" s="35">
        <f>+'[1]DEKK AKMERKEZ'!AD426</f>
        <v>0</v>
      </c>
      <c r="AG502" s="18"/>
      <c r="AH502" s="18"/>
      <c r="AI502" s="35">
        <f>+'[1]DEKK AKMERKEZ'!AG426</f>
        <v>0</v>
      </c>
      <c r="AJ502" s="19"/>
      <c r="AK502" s="19"/>
      <c r="AL502" s="92">
        <f>+'[1]DEKK AKMERKEZ'!AJ426</f>
        <v>0</v>
      </c>
    </row>
    <row r="503" spans="1:38" x14ac:dyDescent="0.25">
      <c r="A503" s="85" t="s">
        <v>71</v>
      </c>
      <c r="B503" s="32" t="s">
        <v>75</v>
      </c>
      <c r="C503" s="33" t="s">
        <v>37</v>
      </c>
      <c r="D503" s="34" t="s">
        <v>23</v>
      </c>
      <c r="E503" s="37">
        <f>SUM(E500:E502)</f>
        <v>0</v>
      </c>
      <c r="F503" s="38"/>
      <c r="G503" s="38"/>
      <c r="H503" s="37">
        <f>SUM(H500:H502)</f>
        <v>0</v>
      </c>
      <c r="I503" s="39"/>
      <c r="J503" s="39"/>
      <c r="K503" s="37">
        <f>SUM(K500:K502)</f>
        <v>159609.70000000001</v>
      </c>
      <c r="L503" s="39"/>
      <c r="M503" s="39"/>
      <c r="N503" s="37">
        <f>SUM(N500:N502)</f>
        <v>167290.84</v>
      </c>
      <c r="O503" s="39"/>
      <c r="P503" s="39"/>
      <c r="Q503" s="37">
        <f>SUM(Q500:Q502)</f>
        <v>168808.2</v>
      </c>
      <c r="R503" s="39"/>
      <c r="S503" s="39"/>
      <c r="T503" s="37">
        <f>SUM(T500:T502)</f>
        <v>150628.09999999998</v>
      </c>
      <c r="U503" s="39"/>
      <c r="V503" s="39"/>
      <c r="W503" s="37">
        <f>SUM(W500:W502)</f>
        <v>182067.41999999998</v>
      </c>
      <c r="X503" s="39"/>
      <c r="Y503" s="39"/>
      <c r="Z503" s="37">
        <f>SUM(Z500:Z502)</f>
        <v>0</v>
      </c>
      <c r="AA503" s="39"/>
      <c r="AB503" s="39"/>
      <c r="AC503" s="37">
        <f>SUM(AC500:AC502)</f>
        <v>0</v>
      </c>
      <c r="AD503" s="39"/>
      <c r="AE503" s="39"/>
      <c r="AF503" s="37">
        <f>SUM(AF500:AF502)</f>
        <v>0</v>
      </c>
      <c r="AG503" s="39"/>
      <c r="AH503" s="39"/>
      <c r="AI503" s="37">
        <f>SUM(AI500:AI502)</f>
        <v>0</v>
      </c>
      <c r="AJ503" s="40"/>
      <c r="AK503" s="40"/>
      <c r="AL503" s="93">
        <f>SUM(AL500:AL502)</f>
        <v>0</v>
      </c>
    </row>
    <row r="504" spans="1:38" x14ac:dyDescent="0.25">
      <c r="A504" s="73" t="s">
        <v>71</v>
      </c>
      <c r="B504" s="6" t="s">
        <v>75</v>
      </c>
      <c r="C504" s="7" t="s">
        <v>38</v>
      </c>
      <c r="D504" s="8" t="s">
        <v>23</v>
      </c>
      <c r="E504" s="28">
        <f>IFERROR(E503/E499,0)</f>
        <v>0</v>
      </c>
      <c r="F504" s="29"/>
      <c r="G504" s="29"/>
      <c r="H504" s="28">
        <f>IFERROR(H503/H499,0)</f>
        <v>0</v>
      </c>
      <c r="I504" s="30"/>
      <c r="J504" s="30"/>
      <c r="K504" s="28">
        <f>IFERROR(K503/K499,0)</f>
        <v>159609.70000000001</v>
      </c>
      <c r="L504" s="30"/>
      <c r="M504" s="30"/>
      <c r="N504" s="28">
        <f>IFERROR(N503/N499,0)</f>
        <v>167290.84</v>
      </c>
      <c r="O504" s="30"/>
      <c r="P504" s="30"/>
      <c r="Q504" s="28">
        <f>IFERROR(Q503/Q499,0)</f>
        <v>194032.41379310345</v>
      </c>
      <c r="R504" s="30"/>
      <c r="S504" s="30"/>
      <c r="T504" s="28">
        <f>IFERROR(T503/T499,0)</f>
        <v>156904.27083333331</v>
      </c>
      <c r="U504" s="30"/>
      <c r="V504" s="30"/>
      <c r="W504" s="28">
        <f>IFERROR(W503/W499,0)</f>
        <v>202297.1333333333</v>
      </c>
      <c r="X504" s="30"/>
      <c r="Y504" s="30"/>
      <c r="Z504" s="28">
        <f>IFERROR(Z503/Z499,0)</f>
        <v>0</v>
      </c>
      <c r="AA504" s="30"/>
      <c r="AB504" s="30"/>
      <c r="AC504" s="28">
        <f>IFERROR(AC503/AC499,0)</f>
        <v>0</v>
      </c>
      <c r="AD504" s="30"/>
      <c r="AE504" s="30"/>
      <c r="AF504" s="28">
        <f>IFERROR(AF503/AF499,0)</f>
        <v>0</v>
      </c>
      <c r="AG504" s="30"/>
      <c r="AH504" s="30"/>
      <c r="AI504" s="28">
        <f>IFERROR(AI503/AI499,0)</f>
        <v>0</v>
      </c>
      <c r="AJ504" s="31"/>
      <c r="AK504" s="31"/>
      <c r="AL504" s="94">
        <f>IFERROR(AL503/AL499,0)</f>
        <v>0</v>
      </c>
    </row>
    <row r="505" spans="1:38" x14ac:dyDescent="0.25">
      <c r="A505" s="73" t="s">
        <v>71</v>
      </c>
      <c r="B505" s="6" t="s">
        <v>75</v>
      </c>
      <c r="C505" s="7" t="s">
        <v>39</v>
      </c>
      <c r="D505" s="8" t="s">
        <v>23</v>
      </c>
      <c r="E505" s="41">
        <f>+'[1]DEKK AKMERKEZ'!C450</f>
        <v>0</v>
      </c>
      <c r="F505" s="42"/>
      <c r="G505" s="42"/>
      <c r="H505" s="43">
        <f>+'[1]DEKK AKMERKEZ'!F450</f>
        <v>0</v>
      </c>
      <c r="I505" s="43"/>
      <c r="J505" s="43"/>
      <c r="K505" s="43">
        <f>+'[1]DEKK AKMERKEZ'!I450</f>
        <v>9019.93</v>
      </c>
      <c r="L505" s="43"/>
      <c r="M505" s="43"/>
      <c r="N505" s="43">
        <f>+'[1]DEKK AKMERKEZ'!L450</f>
        <v>16489.47</v>
      </c>
      <c r="O505" s="43"/>
      <c r="P505" s="43"/>
      <c r="Q505" s="43">
        <f>+'[1]DEKK AKMERKEZ'!O450</f>
        <v>14869.25</v>
      </c>
      <c r="R505" s="43"/>
      <c r="S505" s="43"/>
      <c r="T505" s="43">
        <f>+'[1]DEKK AKMERKEZ'!R450</f>
        <v>12606.810000000001</v>
      </c>
      <c r="U505" s="43"/>
      <c r="V505" s="43"/>
      <c r="W505" s="43">
        <f>+'[1]DEKK AKMERKEZ'!U450</f>
        <v>18677.57</v>
      </c>
      <c r="X505" s="43"/>
      <c r="Y505" s="43"/>
      <c r="Z505" s="43">
        <f>+'[1]DEKK AKMERKEZ'!X450</f>
        <v>0</v>
      </c>
      <c r="AA505" s="43"/>
      <c r="AB505" s="43"/>
      <c r="AC505" s="43">
        <f>+'[1]DEKK AKMERKEZ'!AA450</f>
        <v>0</v>
      </c>
      <c r="AD505" s="43"/>
      <c r="AE505" s="43"/>
      <c r="AF505" s="43">
        <f>+'[1]DEKK AKMERKEZ'!AD450</f>
        <v>0</v>
      </c>
      <c r="AG505" s="43"/>
      <c r="AH505" s="43"/>
      <c r="AI505" s="43">
        <f>+'[1]DEKK AKMERKEZ'!AG450</f>
        <v>0</v>
      </c>
      <c r="AJ505" s="44"/>
      <c r="AK505" s="44"/>
      <c r="AL505" s="95">
        <f>+'[1]DEKK AKMERKEZ'!AJ450</f>
        <v>0</v>
      </c>
    </row>
    <row r="506" spans="1:38" x14ac:dyDescent="0.25">
      <c r="A506" s="73" t="s">
        <v>71</v>
      </c>
      <c r="B506" s="6" t="s">
        <v>75</v>
      </c>
      <c r="C506" s="7" t="s">
        <v>40</v>
      </c>
      <c r="D506" s="34" t="s">
        <v>23</v>
      </c>
      <c r="E506" s="45">
        <f>+'[1]DEKK AKMERKEZ'!C451</f>
        <v>0</v>
      </c>
      <c r="F506" s="46"/>
      <c r="G506" s="46"/>
      <c r="H506" s="47">
        <f>+'[1]DEKK AKMERKEZ'!F451</f>
        <v>0</v>
      </c>
      <c r="I506" s="47"/>
      <c r="J506" s="47"/>
      <c r="K506" s="47">
        <f>+'[1]DEKK AKMERKEZ'!I451</f>
        <v>3233.62</v>
      </c>
      <c r="L506" s="47"/>
      <c r="M506" s="47"/>
      <c r="N506" s="47">
        <f>+'[1]DEKK AKMERKEZ'!L451</f>
        <v>3580.3700000000003</v>
      </c>
      <c r="O506" s="47"/>
      <c r="P506" s="47"/>
      <c r="Q506" s="47">
        <f>+'[1]DEKK AKMERKEZ'!O451</f>
        <v>1863.63</v>
      </c>
      <c r="R506" s="47"/>
      <c r="S506" s="47"/>
      <c r="T506" s="47">
        <f>+'[1]DEKK AKMERKEZ'!R451</f>
        <v>1004.4300000000001</v>
      </c>
      <c r="U506" s="47"/>
      <c r="V506" s="47"/>
      <c r="W506" s="47">
        <f>+'[1]DEKK AKMERKEZ'!U451</f>
        <v>1423.28</v>
      </c>
      <c r="X506" s="47"/>
      <c r="Y506" s="47"/>
      <c r="Z506" s="47">
        <f>+'[1]DEKK AKMERKEZ'!X451</f>
        <v>0</v>
      </c>
      <c r="AA506" s="47"/>
      <c r="AB506" s="47"/>
      <c r="AC506" s="47">
        <f>+'[1]DEKK AKMERKEZ'!AA451</f>
        <v>0</v>
      </c>
      <c r="AD506" s="47"/>
      <c r="AE506" s="47"/>
      <c r="AF506" s="47">
        <f>+'[1]DEKK AKMERKEZ'!AD451</f>
        <v>0</v>
      </c>
      <c r="AG506" s="47"/>
      <c r="AH506" s="47"/>
      <c r="AI506" s="47">
        <f>+'[1]DEKK AKMERKEZ'!AG451</f>
        <v>0</v>
      </c>
      <c r="AJ506" s="48"/>
      <c r="AK506" s="48"/>
      <c r="AL506" s="96">
        <f>+'[1]DEKK AKMERKEZ'!AJ451</f>
        <v>0</v>
      </c>
    </row>
    <row r="507" spans="1:38" x14ac:dyDescent="0.25">
      <c r="A507" s="73" t="s">
        <v>71</v>
      </c>
      <c r="B507" s="6" t="s">
        <v>75</v>
      </c>
      <c r="C507" s="7" t="s">
        <v>41</v>
      </c>
      <c r="D507" s="34" t="s">
        <v>23</v>
      </c>
      <c r="E507" s="45">
        <f>+'[1]DEKK AKMERKEZ'!C452</f>
        <v>0</v>
      </c>
      <c r="F507" s="46"/>
      <c r="G507" s="46"/>
      <c r="H507" s="47">
        <f>+'[1]DEKK AKMERKEZ'!F452</f>
        <v>0</v>
      </c>
      <c r="I507" s="47"/>
      <c r="J507" s="47"/>
      <c r="K507" s="47">
        <f>+'[1]DEKK AKMERKEZ'!I452</f>
        <v>441.36</v>
      </c>
      <c r="L507" s="47"/>
      <c r="M507" s="47"/>
      <c r="N507" s="47">
        <f>+'[1]DEKK AKMERKEZ'!L452</f>
        <v>1014.45</v>
      </c>
      <c r="O507" s="47"/>
      <c r="P507" s="47"/>
      <c r="Q507" s="47">
        <f>+'[1]DEKK AKMERKEZ'!O452</f>
        <v>1668.96</v>
      </c>
      <c r="R507" s="47"/>
      <c r="S507" s="47"/>
      <c r="T507" s="47">
        <f>+'[1]DEKK AKMERKEZ'!R452</f>
        <v>1718.32</v>
      </c>
      <c r="U507" s="47"/>
      <c r="V507" s="47"/>
      <c r="W507" s="47">
        <f>+'[1]DEKK AKMERKEZ'!U452</f>
        <v>1533.91</v>
      </c>
      <c r="X507" s="47"/>
      <c r="Y507" s="47"/>
      <c r="Z507" s="47">
        <f>+'[1]DEKK AKMERKEZ'!X452</f>
        <v>0</v>
      </c>
      <c r="AA507" s="47"/>
      <c r="AB507" s="47"/>
      <c r="AC507" s="47">
        <f>+'[1]DEKK AKMERKEZ'!AA452</f>
        <v>0</v>
      </c>
      <c r="AD507" s="47"/>
      <c r="AE507" s="47"/>
      <c r="AF507" s="47">
        <f>+'[1]DEKK AKMERKEZ'!AD452</f>
        <v>0</v>
      </c>
      <c r="AG507" s="47"/>
      <c r="AH507" s="47"/>
      <c r="AI507" s="47">
        <f>+'[1]DEKK AKMERKEZ'!AG452</f>
        <v>0</v>
      </c>
      <c r="AJ507" s="48"/>
      <c r="AK507" s="48"/>
      <c r="AL507" s="96">
        <f>+'[1]DEKK AKMERKEZ'!AJ452</f>
        <v>0</v>
      </c>
    </row>
    <row r="508" spans="1:38" x14ac:dyDescent="0.25">
      <c r="A508" s="73" t="s">
        <v>71</v>
      </c>
      <c r="B508" s="6" t="s">
        <v>75</v>
      </c>
      <c r="C508" s="7" t="s">
        <v>42</v>
      </c>
      <c r="D508" s="34" t="s">
        <v>43</v>
      </c>
      <c r="E508" s="97">
        <v>0</v>
      </c>
      <c r="F508" s="98"/>
      <c r="G508" s="98"/>
      <c r="H508" s="99">
        <v>0</v>
      </c>
      <c r="I508" s="99"/>
      <c r="J508" s="99"/>
      <c r="K508" s="99">
        <v>0</v>
      </c>
      <c r="L508" s="99"/>
      <c r="M508" s="99"/>
      <c r="N508" s="99">
        <v>0</v>
      </c>
      <c r="O508" s="99"/>
      <c r="P508" s="99"/>
      <c r="Q508" s="99">
        <v>0</v>
      </c>
      <c r="R508" s="99"/>
      <c r="S508" s="99"/>
      <c r="T508" s="99">
        <v>0</v>
      </c>
      <c r="U508" s="99"/>
      <c r="V508" s="99"/>
      <c r="W508" s="99">
        <v>0</v>
      </c>
      <c r="X508" s="99"/>
      <c r="Y508" s="99"/>
      <c r="Z508" s="99">
        <v>0</v>
      </c>
      <c r="AA508" s="99"/>
      <c r="AB508" s="99"/>
      <c r="AC508" s="99">
        <v>0</v>
      </c>
      <c r="AD508" s="99"/>
      <c r="AE508" s="99"/>
      <c r="AF508" s="99">
        <v>0</v>
      </c>
      <c r="AG508" s="99"/>
      <c r="AH508" s="99"/>
      <c r="AI508" s="99">
        <v>0</v>
      </c>
      <c r="AJ508" s="100"/>
      <c r="AK508" s="100"/>
      <c r="AL508" s="101">
        <v>0</v>
      </c>
    </row>
    <row r="509" spans="1:38" x14ac:dyDescent="0.25">
      <c r="A509" s="73" t="s">
        <v>71</v>
      </c>
      <c r="B509" s="6" t="s">
        <v>75</v>
      </c>
      <c r="C509" s="7" t="s">
        <v>44</v>
      </c>
      <c r="D509" s="34" t="s">
        <v>45</v>
      </c>
      <c r="E509" s="102">
        <v>0</v>
      </c>
      <c r="F509" s="103"/>
      <c r="G509" s="103"/>
      <c r="H509" s="104">
        <v>0</v>
      </c>
      <c r="I509" s="104"/>
      <c r="J509" s="104"/>
      <c r="K509" s="104">
        <v>0</v>
      </c>
      <c r="L509" s="104"/>
      <c r="M509" s="104"/>
      <c r="N509" s="104">
        <v>0</v>
      </c>
      <c r="O509" s="104"/>
      <c r="P509" s="104"/>
      <c r="Q509" s="104">
        <v>0</v>
      </c>
      <c r="R509" s="104"/>
      <c r="S509" s="104"/>
      <c r="T509" s="104">
        <v>0</v>
      </c>
      <c r="U509" s="104"/>
      <c r="V509" s="104"/>
      <c r="W509" s="104">
        <v>0</v>
      </c>
      <c r="X509" s="104"/>
      <c r="Y509" s="104"/>
      <c r="Z509" s="104">
        <v>0</v>
      </c>
      <c r="AA509" s="104"/>
      <c r="AB509" s="104"/>
      <c r="AC509" s="104">
        <v>0</v>
      </c>
      <c r="AD509" s="104"/>
      <c r="AE509" s="104"/>
      <c r="AF509" s="104">
        <v>0</v>
      </c>
      <c r="AG509" s="104"/>
      <c r="AH509" s="104"/>
      <c r="AI509" s="104">
        <v>0</v>
      </c>
      <c r="AJ509" s="105"/>
      <c r="AK509" s="105"/>
      <c r="AL509" s="106">
        <v>0</v>
      </c>
    </row>
    <row r="510" spans="1:38" x14ac:dyDescent="0.25">
      <c r="A510" s="73" t="s">
        <v>71</v>
      </c>
      <c r="B510" s="6" t="s">
        <v>75</v>
      </c>
      <c r="C510" s="7" t="s">
        <v>46</v>
      </c>
      <c r="D510" s="34" t="s">
        <v>45</v>
      </c>
      <c r="E510" s="107">
        <v>0</v>
      </c>
      <c r="F510" s="108"/>
      <c r="G510" s="108"/>
      <c r="H510" s="109">
        <v>0</v>
      </c>
      <c r="I510" s="109"/>
      <c r="J510" s="109"/>
      <c r="K510" s="109">
        <v>0</v>
      </c>
      <c r="L510" s="109"/>
      <c r="M510" s="109"/>
      <c r="N510" s="109">
        <v>0</v>
      </c>
      <c r="O510" s="109"/>
      <c r="P510" s="109"/>
      <c r="Q510" s="109">
        <v>0</v>
      </c>
      <c r="R510" s="109"/>
      <c r="S510" s="109"/>
      <c r="T510" s="109">
        <v>0</v>
      </c>
      <c r="U510" s="109"/>
      <c r="V510" s="109"/>
      <c r="W510" s="109">
        <v>0</v>
      </c>
      <c r="X510" s="109"/>
      <c r="Y510" s="109"/>
      <c r="Z510" s="109">
        <v>0</v>
      </c>
      <c r="AA510" s="109"/>
      <c r="AB510" s="109"/>
      <c r="AC510" s="109">
        <v>0</v>
      </c>
      <c r="AD510" s="109"/>
      <c r="AE510" s="109"/>
      <c r="AF510" s="109">
        <v>0</v>
      </c>
      <c r="AG510" s="109"/>
      <c r="AH510" s="109"/>
      <c r="AI510" s="109">
        <v>0</v>
      </c>
      <c r="AJ510" s="110"/>
      <c r="AK510" s="110"/>
      <c r="AL510" s="111">
        <v>0</v>
      </c>
    </row>
    <row r="511" spans="1:38" x14ac:dyDescent="0.25">
      <c r="A511" s="73" t="s">
        <v>71</v>
      </c>
      <c r="B511" s="6" t="s">
        <v>75</v>
      </c>
      <c r="C511" s="7" t="s">
        <v>47</v>
      </c>
      <c r="D511" s="8" t="s">
        <v>23</v>
      </c>
      <c r="E511" s="49">
        <f>IFERROR(+E505/E508,0)</f>
        <v>0</v>
      </c>
      <c r="F511" s="50"/>
      <c r="G511" s="50"/>
      <c r="H511" s="51">
        <f>IFERROR(+H505/H508,0)</f>
        <v>0</v>
      </c>
      <c r="I511" s="52"/>
      <c r="J511" s="52"/>
      <c r="K511" s="51">
        <f>IFERROR(+K505/K508,0)</f>
        <v>0</v>
      </c>
      <c r="L511" s="52"/>
      <c r="M511" s="52"/>
      <c r="N511" s="51">
        <f>IFERROR(+N505/N508,0)</f>
        <v>0</v>
      </c>
      <c r="O511" s="52"/>
      <c r="P511" s="52"/>
      <c r="Q511" s="51">
        <f>IFERROR(+Q505/Q508,0)</f>
        <v>0</v>
      </c>
      <c r="R511" s="52"/>
      <c r="S511" s="52"/>
      <c r="T511" s="51">
        <f>IFERROR(+T505/T508,0)</f>
        <v>0</v>
      </c>
      <c r="U511" s="52"/>
      <c r="V511" s="52"/>
      <c r="W511" s="51">
        <f>IFERROR(+W505/W508,0)</f>
        <v>0</v>
      </c>
      <c r="X511" s="52"/>
      <c r="Y511" s="52"/>
      <c r="Z511" s="51">
        <f>IFERROR(+Z505/Z508,0)</f>
        <v>0</v>
      </c>
      <c r="AA511" s="52"/>
      <c r="AB511" s="52"/>
      <c r="AC511" s="51">
        <f>IFERROR(+AC505/AC508,0)</f>
        <v>0</v>
      </c>
      <c r="AD511" s="52"/>
      <c r="AE511" s="52"/>
      <c r="AF511" s="51">
        <f>IFERROR(+AF505/AF508,0)</f>
        <v>0</v>
      </c>
      <c r="AG511" s="52"/>
      <c r="AH511" s="52"/>
      <c r="AI511" s="51">
        <f>IFERROR(+AI505/AI508,0)</f>
        <v>0</v>
      </c>
      <c r="AJ511" s="53"/>
      <c r="AK511" s="53"/>
      <c r="AL511" s="112">
        <f>IFERROR(+AL505/AL508,0)</f>
        <v>0</v>
      </c>
    </row>
    <row r="512" spans="1:38" x14ac:dyDescent="0.25">
      <c r="A512" s="73" t="s">
        <v>71</v>
      </c>
      <c r="B512" s="6" t="s">
        <v>75</v>
      </c>
      <c r="C512" s="7" t="s">
        <v>48</v>
      </c>
      <c r="D512" s="34" t="s">
        <v>23</v>
      </c>
      <c r="E512" s="49">
        <f>IFERROR(+E506/E509,0)</f>
        <v>0</v>
      </c>
      <c r="F512" s="50"/>
      <c r="G512" s="50"/>
      <c r="H512" s="51">
        <f>IFERROR(+H506/H509,0)</f>
        <v>0</v>
      </c>
      <c r="I512" s="52"/>
      <c r="J512" s="52"/>
      <c r="K512" s="51">
        <f>IFERROR(+K506/K509,0)</f>
        <v>0</v>
      </c>
      <c r="L512" s="52"/>
      <c r="M512" s="52"/>
      <c r="N512" s="51">
        <f>IFERROR(+N506/N509,0)</f>
        <v>0</v>
      </c>
      <c r="O512" s="52"/>
      <c r="P512" s="52"/>
      <c r="Q512" s="51">
        <f>IFERROR(+Q506/Q509,0)</f>
        <v>0</v>
      </c>
      <c r="R512" s="52"/>
      <c r="S512" s="52"/>
      <c r="T512" s="51">
        <f>IFERROR(+T506/T509,0)</f>
        <v>0</v>
      </c>
      <c r="U512" s="52"/>
      <c r="V512" s="52"/>
      <c r="W512" s="51">
        <f>IFERROR(+W506/W509,0)</f>
        <v>0</v>
      </c>
      <c r="X512" s="52"/>
      <c r="Y512" s="52"/>
      <c r="Z512" s="51">
        <f>IFERROR(+Z506/Z509,0)</f>
        <v>0</v>
      </c>
      <c r="AA512" s="52"/>
      <c r="AB512" s="52"/>
      <c r="AC512" s="51">
        <f>IFERROR(+AC506/AC509,0)</f>
        <v>0</v>
      </c>
      <c r="AD512" s="52"/>
      <c r="AE512" s="52"/>
      <c r="AF512" s="51">
        <f>IFERROR(+AF506/AF509,0)</f>
        <v>0</v>
      </c>
      <c r="AG512" s="52"/>
      <c r="AH512" s="52"/>
      <c r="AI512" s="51">
        <f>IFERROR(+AI506/AI509,0)</f>
        <v>0</v>
      </c>
      <c r="AJ512" s="53"/>
      <c r="AK512" s="53"/>
      <c r="AL512" s="112">
        <f>IFERROR(+AL506/AL509,0)</f>
        <v>0</v>
      </c>
    </row>
    <row r="513" spans="1:38" x14ac:dyDescent="0.25">
      <c r="A513" s="73" t="s">
        <v>71</v>
      </c>
      <c r="B513" s="6" t="s">
        <v>75</v>
      </c>
      <c r="C513" s="7" t="s">
        <v>49</v>
      </c>
      <c r="D513" s="34" t="s">
        <v>23</v>
      </c>
      <c r="E513" s="54">
        <f>IFERROR(+E507/E510,0)</f>
        <v>0</v>
      </c>
      <c r="F513" s="55"/>
      <c r="G513" s="55"/>
      <c r="H513" s="56">
        <f>IFERROR(+H507/H510,0)</f>
        <v>0</v>
      </c>
      <c r="I513" s="57"/>
      <c r="J513" s="57"/>
      <c r="K513" s="56">
        <f>IFERROR(+K507/K510,0)</f>
        <v>0</v>
      </c>
      <c r="L513" s="57"/>
      <c r="M513" s="57"/>
      <c r="N513" s="56">
        <f>IFERROR(+N507/N510,0)</f>
        <v>0</v>
      </c>
      <c r="O513" s="57"/>
      <c r="P513" s="57"/>
      <c r="Q513" s="56">
        <f>IFERROR(+Q507/Q510,0)</f>
        <v>0</v>
      </c>
      <c r="R513" s="57"/>
      <c r="S513" s="57"/>
      <c r="T513" s="56">
        <f>IFERROR(+T507/T510,0)</f>
        <v>0</v>
      </c>
      <c r="U513" s="57"/>
      <c r="V513" s="57"/>
      <c r="W513" s="56">
        <f>IFERROR(+W507/W510,0)</f>
        <v>0</v>
      </c>
      <c r="X513" s="57"/>
      <c r="Y513" s="57"/>
      <c r="Z513" s="56">
        <f>IFERROR(+Z507/Z510,0)</f>
        <v>0</v>
      </c>
      <c r="AA513" s="57"/>
      <c r="AB513" s="57"/>
      <c r="AC513" s="56">
        <f>IFERROR(+AC507/AC510,0)</f>
        <v>0</v>
      </c>
      <c r="AD513" s="57"/>
      <c r="AE513" s="57"/>
      <c r="AF513" s="56">
        <f>IFERROR(+AF507/AF510,0)</f>
        <v>0</v>
      </c>
      <c r="AG513" s="57"/>
      <c r="AH513" s="57"/>
      <c r="AI513" s="56">
        <f>IFERROR(+AI507/AI510,0)</f>
        <v>0</v>
      </c>
      <c r="AJ513" s="58"/>
      <c r="AK513" s="58"/>
      <c r="AL513" s="113">
        <f>IFERROR(+AL507/AL510,0)</f>
        <v>0</v>
      </c>
    </row>
    <row r="514" spans="1:38" x14ac:dyDescent="0.25">
      <c r="A514" s="73" t="s">
        <v>71</v>
      </c>
      <c r="B514" s="6" t="s">
        <v>75</v>
      </c>
      <c r="C514" s="7" t="s">
        <v>50</v>
      </c>
      <c r="D514" s="8" t="s">
        <v>23</v>
      </c>
      <c r="E514" s="59">
        <f>+'[1]DEKK AKMERKEZ'!C477</f>
        <v>40931.629999999997</v>
      </c>
      <c r="F514" s="60"/>
      <c r="G514" s="60"/>
      <c r="H514" s="61">
        <f>+'[1]DEKK AKMERKEZ'!F477</f>
        <v>34428.97</v>
      </c>
      <c r="I514" s="61"/>
      <c r="J514" s="61"/>
      <c r="K514" s="61">
        <f>+'[1]DEKK AKMERKEZ'!I477</f>
        <v>25575.759999999998</v>
      </c>
      <c r="L514" s="61"/>
      <c r="M514" s="61"/>
      <c r="N514" s="61">
        <f>+'[1]DEKK AKMERKEZ'!L477</f>
        <v>24541.59</v>
      </c>
      <c r="O514" s="61"/>
      <c r="P514" s="61"/>
      <c r="Q514" s="61">
        <f>+'[1]DEKK AKMERKEZ'!O477</f>
        <v>23546.42</v>
      </c>
      <c r="R514" s="61"/>
      <c r="S514" s="61"/>
      <c r="T514" s="61">
        <f>+'[1]DEKK AKMERKEZ'!R477</f>
        <v>22398.05</v>
      </c>
      <c r="U514" s="61"/>
      <c r="V514" s="61"/>
      <c r="W514" s="61">
        <f>+'[1]DEKK AKMERKEZ'!U477</f>
        <v>19104.88</v>
      </c>
      <c r="X514" s="61"/>
      <c r="Y514" s="61"/>
      <c r="Z514" s="61">
        <f>+'[1]DEKK AKMERKEZ'!X477</f>
        <v>0</v>
      </c>
      <c r="AA514" s="61"/>
      <c r="AB514" s="61"/>
      <c r="AC514" s="61">
        <f>+'[1]DEKK AKMERKEZ'!AA477</f>
        <v>0</v>
      </c>
      <c r="AD514" s="61"/>
      <c r="AE514" s="61"/>
      <c r="AF514" s="61">
        <f>+'[1]DEKK AKMERKEZ'!AD477</f>
        <v>0</v>
      </c>
      <c r="AG514" s="61"/>
      <c r="AH514" s="61"/>
      <c r="AI514" s="61">
        <f>+'[1]DEKK AKMERKEZ'!AG477</f>
        <v>0</v>
      </c>
      <c r="AJ514" s="62"/>
      <c r="AK514" s="62"/>
      <c r="AL514" s="114">
        <f>+'[1]DEKK AKMERKEZ'!AJ477</f>
        <v>0</v>
      </c>
    </row>
    <row r="515" spans="1:38" x14ac:dyDescent="0.25">
      <c r="A515" s="73" t="s">
        <v>71</v>
      </c>
      <c r="B515" s="6" t="s">
        <v>75</v>
      </c>
      <c r="C515" s="7" t="s">
        <v>51</v>
      </c>
      <c r="D515" s="8" t="s">
        <v>20</v>
      </c>
      <c r="E515" s="9"/>
      <c r="F515" s="10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2"/>
      <c r="AK515" s="12"/>
      <c r="AL515" s="74"/>
    </row>
    <row r="516" spans="1:38" x14ac:dyDescent="0.25">
      <c r="A516" s="85" t="s">
        <v>71</v>
      </c>
      <c r="B516" s="32" t="s">
        <v>75</v>
      </c>
      <c r="C516" s="33" t="s">
        <v>52</v>
      </c>
      <c r="D516" s="34" t="s">
        <v>23</v>
      </c>
      <c r="E516" s="24">
        <f>+'[1]DEKK AKMERKEZ'!C485</f>
        <v>0</v>
      </c>
      <c r="F516" s="25"/>
      <c r="G516" s="25"/>
      <c r="H516" s="26">
        <f>+'[1]DEKK AKMERKEZ'!F485</f>
        <v>0</v>
      </c>
      <c r="I516" s="26"/>
      <c r="J516" s="26"/>
      <c r="K516" s="26">
        <f>+'[1]DEKK AKMERKEZ'!I485</f>
        <v>0</v>
      </c>
      <c r="L516" s="26"/>
      <c r="M516" s="26"/>
      <c r="N516" s="26">
        <f>+'[1]DEKK AKMERKEZ'!L485</f>
        <v>0</v>
      </c>
      <c r="O516" s="26"/>
      <c r="P516" s="26"/>
      <c r="Q516" s="26">
        <f>+'[1]DEKK AKMERKEZ'!O485</f>
        <v>0</v>
      </c>
      <c r="R516" s="26"/>
      <c r="S516" s="26"/>
      <c r="T516" s="26">
        <f>+'[1]DEKK AKMERKEZ'!R485</f>
        <v>0</v>
      </c>
      <c r="U516" s="26"/>
      <c r="V516" s="26"/>
      <c r="W516" s="26">
        <f>+'[1]DEKK AKMERKEZ'!U485</f>
        <v>0</v>
      </c>
      <c r="X516" s="26"/>
      <c r="Y516" s="26"/>
      <c r="Z516" s="26">
        <f>+'[1]DEKK AKMERKEZ'!X485</f>
        <v>0</v>
      </c>
      <c r="AA516" s="26"/>
      <c r="AB516" s="26"/>
      <c r="AC516" s="26">
        <f>+'[1]DEKK AKMERKEZ'!AA485</f>
        <v>0</v>
      </c>
      <c r="AD516" s="26"/>
      <c r="AE516" s="26"/>
      <c r="AF516" s="26">
        <f>+'[1]DEKK AKMERKEZ'!AD485</f>
        <v>0</v>
      </c>
      <c r="AG516" s="26"/>
      <c r="AH516" s="26"/>
      <c r="AI516" s="26">
        <f>+'[1]DEKK AKMERKEZ'!AG485</f>
        <v>0</v>
      </c>
      <c r="AJ516" s="27"/>
      <c r="AK516" s="27"/>
      <c r="AL516" s="78">
        <f>+'[1]DEKK AKMERKEZ'!AJ485</f>
        <v>0</v>
      </c>
    </row>
    <row r="517" spans="1:38" x14ac:dyDescent="0.25">
      <c r="A517" s="85" t="s">
        <v>71</v>
      </c>
      <c r="B517" s="32" t="s">
        <v>75</v>
      </c>
      <c r="C517" s="33" t="s">
        <v>53</v>
      </c>
      <c r="D517" s="34" t="s">
        <v>23</v>
      </c>
      <c r="E517" s="28">
        <f>+'[1]DEKK AKMERKEZ'!C494-'[1]DEKK AKMERKEZ'!C427-'[1]DEKK AKMERKEZ'!C432-'[1]DEKK AKMERKEZ'!C449-'[1]DEKK AKMERKEZ'!C477-'[1]DEKK AKMERKEZ'!C485</f>
        <v>236752.60000000003</v>
      </c>
      <c r="F517" s="29"/>
      <c r="G517" s="29"/>
      <c r="H517" s="30">
        <f>+'[1]DEKK AKMERKEZ'!F494-'[1]DEKK AKMERKEZ'!F427-'[1]DEKK AKMERKEZ'!F432-'[1]DEKK AKMERKEZ'!F449-'[1]DEKK AKMERKEZ'!F477-'[1]DEKK AKMERKEZ'!F485</f>
        <v>269915.9800000001</v>
      </c>
      <c r="I517" s="30"/>
      <c r="J517" s="30"/>
      <c r="K517" s="30">
        <f>+'[1]DEKK AKMERKEZ'!I494-'[1]DEKK AKMERKEZ'!I427-'[1]DEKK AKMERKEZ'!I432-'[1]DEKK AKMERKEZ'!I449-'[1]DEKK AKMERKEZ'!I477-'[1]DEKK AKMERKEZ'!I485</f>
        <v>103419.78999999996</v>
      </c>
      <c r="L517" s="30"/>
      <c r="M517" s="30"/>
      <c r="N517" s="30">
        <f>+'[1]DEKK AKMERKEZ'!L494-'[1]DEKK AKMERKEZ'!L427-'[1]DEKK AKMERKEZ'!L432-'[1]DEKK AKMERKEZ'!L449-'[1]DEKK AKMERKEZ'!L477-'[1]DEKK AKMERKEZ'!L485</f>
        <v>48731.099999999977</v>
      </c>
      <c r="O517" s="30"/>
      <c r="P517" s="30"/>
      <c r="Q517" s="30">
        <f>+'[1]DEKK AKMERKEZ'!O494-'[1]DEKK AKMERKEZ'!O427-'[1]DEKK AKMERKEZ'!O432-'[1]DEKK AKMERKEZ'!O449-'[1]DEKK AKMERKEZ'!O477-'[1]DEKK AKMERKEZ'!O485</f>
        <v>49174.789999999994</v>
      </c>
      <c r="R517" s="30"/>
      <c r="S517" s="30"/>
      <c r="T517" s="30">
        <f>+'[1]DEKK AKMERKEZ'!R494-'[1]DEKK AKMERKEZ'!R427-'[1]DEKK AKMERKEZ'!R432-'[1]DEKK AKMERKEZ'!R449-'[1]DEKK AKMERKEZ'!R477-'[1]DEKK AKMERKEZ'!R485</f>
        <v>47665.230000000025</v>
      </c>
      <c r="U517" s="30"/>
      <c r="V517" s="30"/>
      <c r="W517" s="30">
        <f>+'[1]DEKK AKMERKEZ'!U494-'[1]DEKK AKMERKEZ'!U427-'[1]DEKK AKMERKEZ'!U432-'[1]DEKK AKMERKEZ'!U449-'[1]DEKK AKMERKEZ'!U477-'[1]DEKK AKMERKEZ'!U485</f>
        <v>104204.21999999999</v>
      </c>
      <c r="X517" s="30"/>
      <c r="Y517" s="30"/>
      <c r="Z517" s="30">
        <f>+'[1]DEKK AKMERKEZ'!X494-'[1]DEKK AKMERKEZ'!X427-'[1]DEKK AKMERKEZ'!X432-'[1]DEKK AKMERKEZ'!X449-'[1]DEKK AKMERKEZ'!X477-'[1]DEKK AKMERKEZ'!X485</f>
        <v>0</v>
      </c>
      <c r="AA517" s="30"/>
      <c r="AB517" s="30"/>
      <c r="AC517" s="30">
        <f>+'[1]DEKK AKMERKEZ'!AA494-'[1]DEKK AKMERKEZ'!AA427-'[1]DEKK AKMERKEZ'!AA432-'[1]DEKK AKMERKEZ'!AA449-'[1]DEKK AKMERKEZ'!AA477-'[1]DEKK AKMERKEZ'!AA485</f>
        <v>0</v>
      </c>
      <c r="AD517" s="30"/>
      <c r="AE517" s="30"/>
      <c r="AF517" s="30">
        <f>+'[1]DEKK AKMERKEZ'!AD494-'[1]DEKK AKMERKEZ'!AD427-'[1]DEKK AKMERKEZ'!AD432-'[1]DEKK AKMERKEZ'!AD449-'[1]DEKK AKMERKEZ'!AD477-'[1]DEKK AKMERKEZ'!AD485</f>
        <v>0</v>
      </c>
      <c r="AG517" s="30"/>
      <c r="AH517" s="30"/>
      <c r="AI517" s="30">
        <f>+'[1]DEKK AKMERKEZ'!AG494-'[1]DEKK AKMERKEZ'!AG427-'[1]DEKK AKMERKEZ'!AG432-'[1]DEKK AKMERKEZ'!AG449-'[1]DEKK AKMERKEZ'!AG477-'[1]DEKK AKMERKEZ'!AG485</f>
        <v>0</v>
      </c>
      <c r="AJ517" s="31"/>
      <c r="AK517" s="31"/>
      <c r="AL517" s="79">
        <f>+'[1]DEKK AKMERKEZ'!AJ494-'[1]DEKK AKMERKEZ'!AJ427-'[1]DEKK AKMERKEZ'!AJ432-'[1]DEKK AKMERKEZ'!AJ449-'[1]DEKK AKMERKEZ'!AJ477-'[1]DEKK AKMERKEZ'!AJ485</f>
        <v>0</v>
      </c>
    </row>
    <row r="518" spans="1:38" x14ac:dyDescent="0.25">
      <c r="A518" s="85" t="s">
        <v>71</v>
      </c>
      <c r="B518" s="32" t="s">
        <v>75</v>
      </c>
      <c r="C518" s="33" t="s">
        <v>54</v>
      </c>
      <c r="D518" s="34" t="s">
        <v>23</v>
      </c>
      <c r="E518" s="59">
        <f>+E493+E494+E503+E505+E506+E507+E514+E516+E517</f>
        <v>309842.33</v>
      </c>
      <c r="F518" s="60"/>
      <c r="G518" s="60"/>
      <c r="H518" s="61">
        <f>+H493+H494+H503+H505+H506+H507+H514+H516+H517</f>
        <v>304344.95000000007</v>
      </c>
      <c r="I518" s="61"/>
      <c r="J518" s="61"/>
      <c r="K518" s="61">
        <f>+K493+K494+K503+K505+K506+K507+K514+K516+K517</f>
        <v>411790.73</v>
      </c>
      <c r="L518" s="61"/>
      <c r="M518" s="61"/>
      <c r="N518" s="61">
        <f>+N493+N494+N503+N505+N506+N507+N514+N516+N517</f>
        <v>361340.08999999997</v>
      </c>
      <c r="O518" s="61"/>
      <c r="P518" s="61"/>
      <c r="Q518" s="61">
        <f>+Q493+Q494+Q503+Q505+Q506+Q507+Q514+Q516+Q517</f>
        <v>344866.36</v>
      </c>
      <c r="R518" s="61"/>
      <c r="S518" s="61"/>
      <c r="T518" s="61">
        <f>+T493+T494+T503+T505+T506+T507+T514+T516+T517</f>
        <v>350237.25</v>
      </c>
      <c r="U518" s="61"/>
      <c r="V518" s="61"/>
      <c r="W518" s="61">
        <f>+W493+W494+W503+W505+W506+W507+W514+W516+W517</f>
        <v>428739.19999999995</v>
      </c>
      <c r="X518" s="61"/>
      <c r="Y518" s="61"/>
      <c r="Z518" s="61">
        <f>+Z493+Z494+Z503+Z505+Z506+Z507+Z514+Z516+Z517</f>
        <v>0</v>
      </c>
      <c r="AA518" s="61"/>
      <c r="AB518" s="61"/>
      <c r="AC518" s="61">
        <f>+AC493+AC494+AC503+AC505+AC506+AC507+AC514+AC516+AC517</f>
        <v>0</v>
      </c>
      <c r="AD518" s="61"/>
      <c r="AE518" s="61"/>
      <c r="AF518" s="61">
        <f>+AF493+AF494+AF503+AF505+AF506+AF507+AF514+AF516+AF517</f>
        <v>0</v>
      </c>
      <c r="AG518" s="61"/>
      <c r="AH518" s="61"/>
      <c r="AI518" s="61">
        <f>+AI493+AI494+AI503+AI505+AI506+AI507+AI514+AI516+AI517</f>
        <v>0</v>
      </c>
      <c r="AJ518" s="62"/>
      <c r="AK518" s="62"/>
      <c r="AL518" s="114">
        <f>+AL493+AL494+AL503+AL505+AL506+AL507+AL514+AL516+AL517</f>
        <v>0</v>
      </c>
    </row>
    <row r="519" spans="1:38" ht="15.75" thickBot="1" x14ac:dyDescent="0.3">
      <c r="A519" s="115" t="s">
        <v>71</v>
      </c>
      <c r="B519" s="116" t="s">
        <v>75</v>
      </c>
      <c r="C519" s="117" t="s">
        <v>55</v>
      </c>
      <c r="D519" s="118" t="s">
        <v>23</v>
      </c>
      <c r="E519" s="119">
        <f>+E518-'[1]DEKK AKMERKEZ'!C494</f>
        <v>0</v>
      </c>
      <c r="F519" s="120"/>
      <c r="G519" s="120"/>
      <c r="H519" s="121">
        <f>+H518-'[1]DEKK AKMERKEZ'!F494</f>
        <v>0</v>
      </c>
      <c r="I519" s="121"/>
      <c r="J519" s="121"/>
      <c r="K519" s="121">
        <f>+K518-'[1]DEKK AKMERKEZ'!I494</f>
        <v>0</v>
      </c>
      <c r="L519" s="121"/>
      <c r="M519" s="121"/>
      <c r="N519" s="121">
        <f>+N518-'[1]DEKK AKMERKEZ'!L494</f>
        <v>0</v>
      </c>
      <c r="O519" s="121"/>
      <c r="P519" s="121"/>
      <c r="Q519" s="121">
        <f>+Q518-'[1]DEKK AKMERKEZ'!O494</f>
        <v>0</v>
      </c>
      <c r="R519" s="121"/>
      <c r="S519" s="121"/>
      <c r="T519" s="121">
        <f>+T518-'[1]DEKK AKMERKEZ'!R494</f>
        <v>0</v>
      </c>
      <c r="U519" s="121"/>
      <c r="V519" s="121"/>
      <c r="W519" s="121">
        <f>+W518-'[1]DEKK AKMERKEZ'!U494</f>
        <v>0</v>
      </c>
      <c r="X519" s="121"/>
      <c r="Y519" s="121"/>
      <c r="Z519" s="121">
        <f>+Z518-'[1]DEKK AKMERKEZ'!X494</f>
        <v>0</v>
      </c>
      <c r="AA519" s="121"/>
      <c r="AB519" s="121"/>
      <c r="AC519" s="121">
        <f>+AC518-'[1]DEKK AKMERKEZ'!AA494</f>
        <v>0</v>
      </c>
      <c r="AD519" s="121"/>
      <c r="AE519" s="121"/>
      <c r="AF519" s="121">
        <f>+AF518-'[1]DEKK AKMERKEZ'!AD494</f>
        <v>0</v>
      </c>
      <c r="AG519" s="121"/>
      <c r="AH519" s="121"/>
      <c r="AI519" s="121">
        <f>+AI518-'[1]DEKK AKMERKEZ'!AG494</f>
        <v>0</v>
      </c>
      <c r="AJ519" s="122"/>
      <c r="AK519" s="122"/>
      <c r="AL519" s="123">
        <f>+AL518-'[1]DEKK AKMERKEZ'!AJ494</f>
        <v>0</v>
      </c>
    </row>
    <row r="520" spans="1:38" x14ac:dyDescent="0.25">
      <c r="A520" s="64" t="s">
        <v>71</v>
      </c>
      <c r="B520" s="65" t="s">
        <v>76</v>
      </c>
      <c r="C520" s="66" t="s">
        <v>19</v>
      </c>
      <c r="D520" s="67" t="s">
        <v>20</v>
      </c>
      <c r="E520" s="68">
        <f>+'[1]DEKK AKMERKEZ'!C508</f>
        <v>0</v>
      </c>
      <c r="F520" s="69"/>
      <c r="G520" s="69"/>
      <c r="H520" s="70">
        <f>+'[1]DEKK AKMERKEZ'!F508</f>
        <v>0</v>
      </c>
      <c r="I520" s="70"/>
      <c r="J520" s="70"/>
      <c r="K520" s="70">
        <f>+'[1]DEKK AKMERKEZ'!I508</f>
        <v>0</v>
      </c>
      <c r="L520" s="70"/>
      <c r="M520" s="70"/>
      <c r="N520" s="70">
        <f>+'[1]DEKK AKMERKEZ'!L508</f>
        <v>0</v>
      </c>
      <c r="O520" s="70"/>
      <c r="P520" s="70"/>
      <c r="Q520" s="70">
        <f>+'[1]DEKK AKMERKEZ'!O508</f>
        <v>0</v>
      </c>
      <c r="R520" s="70"/>
      <c r="S520" s="70"/>
      <c r="T520" s="70">
        <f>+'[1]DEKK AKMERKEZ'!R508</f>
        <v>0</v>
      </c>
      <c r="U520" s="70"/>
      <c r="V520" s="70"/>
      <c r="W520" s="70">
        <f>+'[1]DEKK AKMERKEZ'!U508</f>
        <v>0</v>
      </c>
      <c r="X520" s="70"/>
      <c r="Y520" s="70"/>
      <c r="Z520" s="70">
        <f>+'[1]DEKK AKMERKEZ'!X508</f>
        <v>0</v>
      </c>
      <c r="AA520" s="70"/>
      <c r="AB520" s="70"/>
      <c r="AC520" s="70">
        <f>+'[1]DEKK AKMERKEZ'!AA508</f>
        <v>0</v>
      </c>
      <c r="AD520" s="70"/>
      <c r="AE520" s="70"/>
      <c r="AF520" s="70">
        <f>+'[1]DEKK AKMERKEZ'!AD508</f>
        <v>0</v>
      </c>
      <c r="AG520" s="70"/>
      <c r="AH520" s="70"/>
      <c r="AI520" s="70">
        <f>+'[1]DEKK AKMERKEZ'!AG508</f>
        <v>0</v>
      </c>
      <c r="AJ520" s="71"/>
      <c r="AK520" s="71"/>
      <c r="AL520" s="72">
        <f>+'[1]DEKK AKMERKEZ'!AJ508</f>
        <v>0</v>
      </c>
    </row>
    <row r="521" spans="1:38" x14ac:dyDescent="0.25">
      <c r="A521" s="73" t="s">
        <v>71</v>
      </c>
      <c r="B521" s="6" t="s">
        <v>76</v>
      </c>
      <c r="C521" s="7" t="s">
        <v>21</v>
      </c>
      <c r="D521" s="8" t="s">
        <v>20</v>
      </c>
      <c r="E521" s="9"/>
      <c r="F521" s="10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2"/>
      <c r="AK521" s="12"/>
      <c r="AL521" s="74"/>
    </row>
    <row r="522" spans="1:38" x14ac:dyDescent="0.25">
      <c r="A522" s="73" t="s">
        <v>71</v>
      </c>
      <c r="B522" s="6" t="s">
        <v>76</v>
      </c>
      <c r="C522" s="7" t="s">
        <v>22</v>
      </c>
      <c r="D522" s="8" t="s">
        <v>23</v>
      </c>
      <c r="E522" s="13">
        <f>+'[1]DEKK AKMERKEZ'!C503</f>
        <v>0</v>
      </c>
      <c r="F522" s="14"/>
      <c r="G522" s="14"/>
      <c r="H522" s="15">
        <f>+'[1]DEKK AKMERKEZ'!F503</f>
        <v>0</v>
      </c>
      <c r="I522" s="14"/>
      <c r="J522" s="14"/>
      <c r="K522" s="13">
        <f>+'[1]DEKK AKMERKEZ'!I503</f>
        <v>0</v>
      </c>
      <c r="L522" s="14"/>
      <c r="M522" s="14"/>
      <c r="N522" s="15">
        <f>+'[1]DEKK AKMERKEZ'!L503</f>
        <v>0</v>
      </c>
      <c r="O522" s="15"/>
      <c r="P522" s="15"/>
      <c r="Q522" s="15">
        <f>+'[1]DEKK AKMERKEZ'!O503</f>
        <v>342988.64</v>
      </c>
      <c r="R522" s="15"/>
      <c r="S522" s="15"/>
      <c r="T522" s="15">
        <f>+'[1]DEKK AKMERKEZ'!R503</f>
        <v>138221.04</v>
      </c>
      <c r="U522" s="15"/>
      <c r="V522" s="15"/>
      <c r="W522" s="15">
        <f>+'[1]DEKK AKMERKEZ'!U503</f>
        <v>0</v>
      </c>
      <c r="X522" s="15"/>
      <c r="Y522" s="15"/>
      <c r="Z522" s="15">
        <f>+'[1]DEKK AKMERKEZ'!X503</f>
        <v>0</v>
      </c>
      <c r="AA522" s="15"/>
      <c r="AB522" s="15"/>
      <c r="AC522" s="15">
        <f>+'[1]DEKK AKMERKEZ'!AA503</f>
        <v>0</v>
      </c>
      <c r="AD522" s="15"/>
      <c r="AE522" s="15"/>
      <c r="AF522" s="15">
        <f>+'[1]DEKK AKMERKEZ'!AD503</f>
        <v>0</v>
      </c>
      <c r="AG522" s="15"/>
      <c r="AH522" s="15"/>
      <c r="AI522" s="15">
        <f>+'[1]DEKK AKMERKEZ'!AG503</f>
        <v>0</v>
      </c>
      <c r="AJ522" s="16"/>
      <c r="AK522" s="16"/>
      <c r="AL522" s="75">
        <f>+'[1]DEKK AKMERKEZ'!AJ503</f>
        <v>0</v>
      </c>
    </row>
    <row r="523" spans="1:38" x14ac:dyDescent="0.25">
      <c r="A523" s="73" t="s">
        <v>71</v>
      </c>
      <c r="B523" s="6" t="s">
        <v>76</v>
      </c>
      <c r="C523" s="7" t="s">
        <v>24</v>
      </c>
      <c r="D523" s="8" t="s">
        <v>23</v>
      </c>
      <c r="E523" s="13">
        <f>+'[1]DEKK AKMERKEZ'!C504</f>
        <v>0</v>
      </c>
      <c r="F523" s="17"/>
      <c r="G523" s="17"/>
      <c r="H523" s="18">
        <f>+'[1]DEKK AKMERKEZ'!F504</f>
        <v>0</v>
      </c>
      <c r="I523" s="18"/>
      <c r="J523" s="18"/>
      <c r="K523" s="18">
        <f>+'[1]DEKK AKMERKEZ'!I504</f>
        <v>0</v>
      </c>
      <c r="L523" s="18"/>
      <c r="M523" s="18"/>
      <c r="N523" s="18">
        <f>+'[1]DEKK AKMERKEZ'!L504</f>
        <v>0</v>
      </c>
      <c r="O523" s="18"/>
      <c r="P523" s="18"/>
      <c r="Q523" s="18">
        <f>+'[1]DEKK AKMERKEZ'!O504</f>
        <v>600478.33000000007</v>
      </c>
      <c r="R523" s="18"/>
      <c r="S523" s="18"/>
      <c r="T523" s="18">
        <f>+'[1]DEKK AKMERKEZ'!R504</f>
        <v>80831.839999999997</v>
      </c>
      <c r="U523" s="18"/>
      <c r="V523" s="18"/>
      <c r="W523" s="18">
        <f>+'[1]DEKK AKMERKEZ'!U504</f>
        <v>20583.330000000002</v>
      </c>
      <c r="X523" s="18"/>
      <c r="Y523" s="18"/>
      <c r="Z523" s="18">
        <f>+'[1]DEKK AKMERKEZ'!X504</f>
        <v>0</v>
      </c>
      <c r="AA523" s="18"/>
      <c r="AB523" s="18"/>
      <c r="AC523" s="18">
        <f>+'[1]DEKK AKMERKEZ'!AA504</f>
        <v>0</v>
      </c>
      <c r="AD523" s="18"/>
      <c r="AE523" s="18"/>
      <c r="AF523" s="18">
        <f>+'[1]DEKK AKMERKEZ'!AD504</f>
        <v>0</v>
      </c>
      <c r="AG523" s="18"/>
      <c r="AH523" s="18"/>
      <c r="AI523" s="18">
        <f>+'[1]DEKK AKMERKEZ'!AG504</f>
        <v>0</v>
      </c>
      <c r="AJ523" s="19"/>
      <c r="AK523" s="19"/>
      <c r="AL523" s="76">
        <f>+'[1]DEKK AKMERKEZ'!AJ504</f>
        <v>0</v>
      </c>
    </row>
    <row r="524" spans="1:38" x14ac:dyDescent="0.25">
      <c r="A524" s="73" t="s">
        <v>71</v>
      </c>
      <c r="B524" s="6" t="s">
        <v>76</v>
      </c>
      <c r="C524" s="7" t="s">
        <v>25</v>
      </c>
      <c r="D524" s="8" t="s">
        <v>23</v>
      </c>
      <c r="E524" s="20">
        <f>+'[1]DEKK AKMERKEZ'!C507-'[1]DEKK AKMERKEZ'!C503-'[1]DEKK AKMERKEZ'!C504</f>
        <v>0</v>
      </c>
      <c r="F524" s="21"/>
      <c r="G524" s="21"/>
      <c r="H524" s="22">
        <f>+'[1]DEKK AKMERKEZ'!F507-'[1]DEKK AKMERKEZ'!F503-'[1]DEKK AKMERKEZ'!F504</f>
        <v>0</v>
      </c>
      <c r="I524" s="22"/>
      <c r="J524" s="22"/>
      <c r="K524" s="22">
        <f>+'[1]DEKK AKMERKEZ'!I507-'[1]DEKK AKMERKEZ'!I503-'[1]DEKK AKMERKEZ'!I504</f>
        <v>0</v>
      </c>
      <c r="L524" s="22"/>
      <c r="M524" s="22"/>
      <c r="N524" s="22">
        <f>+'[1]DEKK AKMERKEZ'!L507-'[1]DEKK AKMERKEZ'!L503-'[1]DEKK AKMERKEZ'!L504</f>
        <v>0</v>
      </c>
      <c r="O524" s="22"/>
      <c r="P524" s="22"/>
      <c r="Q524" s="22">
        <f>+'[1]DEKK AKMERKEZ'!O507-'[1]DEKK AKMERKEZ'!O503-'[1]DEKK AKMERKEZ'!O504</f>
        <v>0</v>
      </c>
      <c r="R524" s="22"/>
      <c r="S524" s="22"/>
      <c r="T524" s="22">
        <f>+'[1]DEKK AKMERKEZ'!R507-'[1]DEKK AKMERKEZ'!R503-'[1]DEKK AKMERKEZ'!R504</f>
        <v>0</v>
      </c>
      <c r="U524" s="22"/>
      <c r="V524" s="22"/>
      <c r="W524" s="22">
        <f>+'[1]DEKK AKMERKEZ'!U507-'[1]DEKK AKMERKEZ'!U503-'[1]DEKK AKMERKEZ'!U504</f>
        <v>0</v>
      </c>
      <c r="X524" s="22"/>
      <c r="Y524" s="22"/>
      <c r="Z524" s="22">
        <f>+'[1]DEKK AKMERKEZ'!X507-'[1]DEKK AKMERKEZ'!X503-'[1]DEKK AKMERKEZ'!X504</f>
        <v>0</v>
      </c>
      <c r="AA524" s="22"/>
      <c r="AB524" s="22"/>
      <c r="AC524" s="22">
        <f>+'[1]DEKK AKMERKEZ'!AA507-'[1]DEKK AKMERKEZ'!AA503-'[1]DEKK AKMERKEZ'!AA504</f>
        <v>0</v>
      </c>
      <c r="AD524" s="22"/>
      <c r="AE524" s="22"/>
      <c r="AF524" s="22">
        <f>+'[1]DEKK AKMERKEZ'!AD507-'[1]DEKK AKMERKEZ'!AD503-'[1]DEKK AKMERKEZ'!AD504</f>
        <v>0</v>
      </c>
      <c r="AG524" s="22"/>
      <c r="AH524" s="22"/>
      <c r="AI524" s="22">
        <f>+'[1]DEKK AKMERKEZ'!AG507-'[1]DEKK AKMERKEZ'!AG503-'[1]DEKK AKMERKEZ'!AG504</f>
        <v>0</v>
      </c>
      <c r="AJ524" s="23"/>
      <c r="AK524" s="23"/>
      <c r="AL524" s="77">
        <f>+'[1]DEKK AKMERKEZ'!AJ507-'[1]DEKK AKMERKEZ'!AJ503-'[1]DEKK AKMERKEZ'!AJ504</f>
        <v>0</v>
      </c>
    </row>
    <row r="525" spans="1:38" x14ac:dyDescent="0.25">
      <c r="A525" s="73" t="s">
        <v>71</v>
      </c>
      <c r="B525" s="6" t="s">
        <v>76</v>
      </c>
      <c r="C525" s="7" t="s">
        <v>26</v>
      </c>
      <c r="D525" s="8" t="s">
        <v>23</v>
      </c>
      <c r="E525" s="24">
        <f>+'[1]DEKK AKMERKEZ'!C528</f>
        <v>0</v>
      </c>
      <c r="F525" s="25"/>
      <c r="G525" s="25"/>
      <c r="H525" s="26">
        <f>+'[1]DEKK AKMERKEZ'!F528</f>
        <v>0</v>
      </c>
      <c r="I525" s="26"/>
      <c r="J525" s="26"/>
      <c r="K525" s="26">
        <f>+'[1]DEKK AKMERKEZ'!I528</f>
        <v>0</v>
      </c>
      <c r="L525" s="26"/>
      <c r="M525" s="26"/>
      <c r="N525" s="26">
        <f>+'[1]DEKK AKMERKEZ'!L528</f>
        <v>0</v>
      </c>
      <c r="O525" s="26"/>
      <c r="P525" s="26"/>
      <c r="Q525" s="26">
        <f>+'[1]DEKK AKMERKEZ'!O528</f>
        <v>165060.89000000001</v>
      </c>
      <c r="R525" s="26"/>
      <c r="S525" s="26"/>
      <c r="T525" s="26">
        <f>+'[1]DEKK AKMERKEZ'!R528</f>
        <v>23128.3</v>
      </c>
      <c r="U525" s="26"/>
      <c r="V525" s="26"/>
      <c r="W525" s="26">
        <f>+'[1]DEKK AKMERKEZ'!U528</f>
        <v>0</v>
      </c>
      <c r="X525" s="26"/>
      <c r="Y525" s="26"/>
      <c r="Z525" s="26">
        <f>+'[1]DEKK AKMERKEZ'!X528</f>
        <v>0</v>
      </c>
      <c r="AA525" s="26"/>
      <c r="AB525" s="26"/>
      <c r="AC525" s="26">
        <f>+'[1]DEKK AKMERKEZ'!AA528</f>
        <v>0</v>
      </c>
      <c r="AD525" s="26"/>
      <c r="AE525" s="26"/>
      <c r="AF525" s="26">
        <f>+'[1]DEKK AKMERKEZ'!AD528</f>
        <v>0</v>
      </c>
      <c r="AG525" s="26"/>
      <c r="AH525" s="26"/>
      <c r="AI525" s="26">
        <f>+'[1]DEKK AKMERKEZ'!AG528</f>
        <v>0</v>
      </c>
      <c r="AJ525" s="27"/>
      <c r="AK525" s="27"/>
      <c r="AL525" s="78">
        <f>+'[1]DEKK AKMERKEZ'!AJ528</f>
        <v>0</v>
      </c>
    </row>
    <row r="526" spans="1:38" x14ac:dyDescent="0.25">
      <c r="A526" s="73" t="s">
        <v>71</v>
      </c>
      <c r="B526" s="6" t="s">
        <v>76</v>
      </c>
      <c r="C526" s="7" t="s">
        <v>27</v>
      </c>
      <c r="D526" s="8" t="s">
        <v>23</v>
      </c>
      <c r="E526" s="28">
        <f>+'[1]DEKK AKMERKEZ'!C529</f>
        <v>0</v>
      </c>
      <c r="F526" s="29"/>
      <c r="G526" s="29"/>
      <c r="H526" s="30">
        <f>+'[1]DEKK AKMERKEZ'!F529</f>
        <v>0</v>
      </c>
      <c r="I526" s="30"/>
      <c r="J526" s="30"/>
      <c r="K526" s="30">
        <f>+'[1]DEKK AKMERKEZ'!I529</f>
        <v>0</v>
      </c>
      <c r="L526" s="30"/>
      <c r="M526" s="30"/>
      <c r="N526" s="30">
        <f>+'[1]DEKK AKMERKEZ'!L529</f>
        <v>0</v>
      </c>
      <c r="O526" s="30"/>
      <c r="P526" s="30"/>
      <c r="Q526" s="30">
        <f>+'[1]DEKK AKMERKEZ'!O529</f>
        <v>60819.95</v>
      </c>
      <c r="R526" s="30"/>
      <c r="S526" s="30"/>
      <c r="T526" s="30">
        <f>+'[1]DEKK AKMERKEZ'!R529</f>
        <v>7329.97</v>
      </c>
      <c r="U526" s="30"/>
      <c r="V526" s="30"/>
      <c r="W526" s="30">
        <f>+'[1]DEKK AKMERKEZ'!U529</f>
        <v>0</v>
      </c>
      <c r="X526" s="30"/>
      <c r="Y526" s="30"/>
      <c r="Z526" s="30">
        <f>+'[1]DEKK AKMERKEZ'!X529</f>
        <v>0</v>
      </c>
      <c r="AA526" s="30"/>
      <c r="AB526" s="30"/>
      <c r="AC526" s="30">
        <f>+'[1]DEKK AKMERKEZ'!AA529</f>
        <v>0</v>
      </c>
      <c r="AD526" s="30"/>
      <c r="AE526" s="30"/>
      <c r="AF526" s="30">
        <f>+'[1]DEKK AKMERKEZ'!AD529</f>
        <v>0</v>
      </c>
      <c r="AG526" s="30"/>
      <c r="AH526" s="30"/>
      <c r="AI526" s="30">
        <f>+'[1]DEKK AKMERKEZ'!AG529</f>
        <v>0</v>
      </c>
      <c r="AJ526" s="31"/>
      <c r="AK526" s="31"/>
      <c r="AL526" s="79">
        <f>+'[1]DEKK AKMERKEZ'!AJ529</f>
        <v>0</v>
      </c>
    </row>
    <row r="527" spans="1:38" x14ac:dyDescent="0.25">
      <c r="A527" s="73" t="s">
        <v>71</v>
      </c>
      <c r="B527" s="6" t="s">
        <v>76</v>
      </c>
      <c r="C527" s="7" t="s">
        <v>28</v>
      </c>
      <c r="D527" s="8" t="s">
        <v>29</v>
      </c>
      <c r="E527" s="124">
        <f>+'[1]DEKK AKMERKEZ'!C512</f>
        <v>0</v>
      </c>
      <c r="F527" s="125"/>
      <c r="G527" s="125"/>
      <c r="H527" s="126">
        <f>+'[1]DEKK AKMERKEZ'!F512</f>
        <v>0</v>
      </c>
      <c r="I527" s="126"/>
      <c r="J527" s="126"/>
      <c r="K527" s="126">
        <f>+'[1]DEKK AKMERKEZ'!I512</f>
        <v>0</v>
      </c>
      <c r="L527" s="126"/>
      <c r="M527" s="126"/>
      <c r="N527" s="126">
        <f>+'[1]DEKK AKMERKEZ'!L512</f>
        <v>0</v>
      </c>
      <c r="O527" s="126"/>
      <c r="P527" s="126"/>
      <c r="Q527" s="126">
        <f>+'[1]DEKK AKMERKEZ'!O512</f>
        <v>0</v>
      </c>
      <c r="R527" s="126"/>
      <c r="S527" s="126"/>
      <c r="T527" s="126">
        <f>+'[1]DEKK AKMERKEZ'!R512</f>
        <v>0</v>
      </c>
      <c r="U527" s="126"/>
      <c r="V527" s="126"/>
      <c r="W527" s="126">
        <f>+'[1]DEKK AKMERKEZ'!U512</f>
        <v>0</v>
      </c>
      <c r="X527" s="126"/>
      <c r="Y527" s="126"/>
      <c r="Z527" s="126">
        <f>+'[1]DEKK AKMERKEZ'!X512</f>
        <v>0</v>
      </c>
      <c r="AA527" s="126"/>
      <c r="AB527" s="126"/>
      <c r="AC527" s="126">
        <f>+'[1]DEKK AKMERKEZ'!AA512</f>
        <v>0</v>
      </c>
      <c r="AD527" s="126"/>
      <c r="AE527" s="126"/>
      <c r="AF527" s="126">
        <f>+'[1]DEKK AKMERKEZ'!AD512</f>
        <v>0</v>
      </c>
      <c r="AG527" s="126"/>
      <c r="AH527" s="126"/>
      <c r="AI527" s="126">
        <f>+'[1]DEKK AKMERKEZ'!AG512</f>
        <v>0</v>
      </c>
      <c r="AJ527" s="127"/>
      <c r="AK527" s="127"/>
      <c r="AL527" s="128">
        <f>+'[1]DEKK AKMERKEZ'!AJ512</f>
        <v>0</v>
      </c>
    </row>
    <row r="528" spans="1:38" x14ac:dyDescent="0.25">
      <c r="A528" s="85" t="s">
        <v>71</v>
      </c>
      <c r="B528" s="32" t="s">
        <v>76</v>
      </c>
      <c r="C528" s="33" t="s">
        <v>30</v>
      </c>
      <c r="D528" s="34" t="s">
        <v>29</v>
      </c>
      <c r="E528" s="129">
        <f>+'[1]DEKK AKMERKEZ'!C513</f>
        <v>0</v>
      </c>
      <c r="F528" s="130"/>
      <c r="G528" s="130"/>
      <c r="H528" s="131">
        <f>+'[1]DEKK AKMERKEZ'!F513</f>
        <v>0</v>
      </c>
      <c r="I528" s="131"/>
      <c r="J528" s="131"/>
      <c r="K528" s="131">
        <f>+'[1]DEKK AKMERKEZ'!I513</f>
        <v>0</v>
      </c>
      <c r="L528" s="131"/>
      <c r="M528" s="131"/>
      <c r="N528" s="131">
        <f>+'[1]DEKK AKMERKEZ'!L513</f>
        <v>0</v>
      </c>
      <c r="O528" s="131"/>
      <c r="P528" s="131"/>
      <c r="Q528" s="131">
        <f>+'[1]DEKK AKMERKEZ'!O513</f>
        <v>0.76</v>
      </c>
      <c r="R528" s="131"/>
      <c r="S528" s="131"/>
      <c r="T528" s="131">
        <f>+'[1]DEKK AKMERKEZ'!R513</f>
        <v>0</v>
      </c>
      <c r="U528" s="131"/>
      <c r="V528" s="131"/>
      <c r="W528" s="131">
        <f>+'[1]DEKK AKMERKEZ'!U513</f>
        <v>0</v>
      </c>
      <c r="X528" s="131"/>
      <c r="Y528" s="131"/>
      <c r="Z528" s="131">
        <f>+'[1]DEKK AKMERKEZ'!X513</f>
        <v>0</v>
      </c>
      <c r="AA528" s="131"/>
      <c r="AB528" s="131"/>
      <c r="AC528" s="131">
        <f>+'[1]DEKK AKMERKEZ'!AA513</f>
        <v>0</v>
      </c>
      <c r="AD528" s="131"/>
      <c r="AE528" s="131"/>
      <c r="AF528" s="131">
        <f>+'[1]DEKK AKMERKEZ'!AD513</f>
        <v>0</v>
      </c>
      <c r="AG528" s="131"/>
      <c r="AH528" s="131"/>
      <c r="AI528" s="131">
        <f>+'[1]DEKK AKMERKEZ'!AG513</f>
        <v>0</v>
      </c>
      <c r="AJ528" s="132"/>
      <c r="AK528" s="132"/>
      <c r="AL528" s="133">
        <f>+'[1]DEKK AKMERKEZ'!AJ513</f>
        <v>0</v>
      </c>
    </row>
    <row r="529" spans="1:38" x14ac:dyDescent="0.25">
      <c r="A529" s="85" t="s">
        <v>71</v>
      </c>
      <c r="B529" s="32" t="s">
        <v>76</v>
      </c>
      <c r="C529" s="33" t="s">
        <v>31</v>
      </c>
      <c r="D529" s="34" t="s">
        <v>29</v>
      </c>
      <c r="E529" s="129">
        <f>+'[1]DEKK AKMERKEZ'!C514</f>
        <v>0</v>
      </c>
      <c r="F529" s="130"/>
      <c r="G529" s="130"/>
      <c r="H529" s="131">
        <f>+'[1]DEKK AKMERKEZ'!F514</f>
        <v>0</v>
      </c>
      <c r="I529" s="131"/>
      <c r="J529" s="131"/>
      <c r="K529" s="131">
        <f>+'[1]DEKK AKMERKEZ'!I514</f>
        <v>0</v>
      </c>
      <c r="L529" s="131"/>
      <c r="M529" s="131"/>
      <c r="N529" s="131">
        <f>+'[1]DEKK AKMERKEZ'!L514</f>
        <v>0</v>
      </c>
      <c r="O529" s="131"/>
      <c r="P529" s="131"/>
      <c r="Q529" s="131">
        <f>+'[1]DEKK AKMERKEZ'!O514</f>
        <v>0</v>
      </c>
      <c r="R529" s="131"/>
      <c r="S529" s="131"/>
      <c r="T529" s="131">
        <f>+'[1]DEKK AKMERKEZ'!R514</f>
        <v>0</v>
      </c>
      <c r="U529" s="131"/>
      <c r="V529" s="131"/>
      <c r="W529" s="131">
        <f>+'[1]DEKK AKMERKEZ'!U514</f>
        <v>0</v>
      </c>
      <c r="X529" s="131"/>
      <c r="Y529" s="131"/>
      <c r="Z529" s="131">
        <f>+'[1]DEKK AKMERKEZ'!X514</f>
        <v>0</v>
      </c>
      <c r="AA529" s="131"/>
      <c r="AB529" s="131"/>
      <c r="AC529" s="131">
        <f>+'[1]DEKK AKMERKEZ'!AA514</f>
        <v>0</v>
      </c>
      <c r="AD529" s="131"/>
      <c r="AE529" s="131"/>
      <c r="AF529" s="131">
        <f>+'[1]DEKK AKMERKEZ'!AD514</f>
        <v>0</v>
      </c>
      <c r="AG529" s="131"/>
      <c r="AH529" s="131"/>
      <c r="AI529" s="131">
        <f>+'[1]DEKK AKMERKEZ'!AG514</f>
        <v>0</v>
      </c>
      <c r="AJ529" s="132"/>
      <c r="AK529" s="132"/>
      <c r="AL529" s="133">
        <f>+'[1]DEKK AKMERKEZ'!AJ514</f>
        <v>0</v>
      </c>
    </row>
    <row r="530" spans="1:38" x14ac:dyDescent="0.25">
      <c r="A530" s="85" t="s">
        <v>71</v>
      </c>
      <c r="B530" s="32" t="s">
        <v>76</v>
      </c>
      <c r="C530" s="33" t="s">
        <v>32</v>
      </c>
      <c r="D530" s="34" t="s">
        <v>29</v>
      </c>
      <c r="E530" s="129">
        <f>+'[1]DEKK AKMERKEZ'!C515</f>
        <v>0</v>
      </c>
      <c r="F530" s="130"/>
      <c r="G530" s="130"/>
      <c r="H530" s="131">
        <f>+'[1]DEKK AKMERKEZ'!F515</f>
        <v>0</v>
      </c>
      <c r="I530" s="131"/>
      <c r="J530" s="131"/>
      <c r="K530" s="131">
        <f>+'[1]DEKK AKMERKEZ'!I515</f>
        <v>0</v>
      </c>
      <c r="L530" s="131"/>
      <c r="M530" s="131"/>
      <c r="N530" s="131">
        <f>+'[1]DEKK AKMERKEZ'!L515</f>
        <v>0</v>
      </c>
      <c r="O530" s="131"/>
      <c r="P530" s="131"/>
      <c r="Q530" s="131">
        <f>+'[1]DEKK AKMERKEZ'!O515</f>
        <v>0</v>
      </c>
      <c r="R530" s="131"/>
      <c r="S530" s="131"/>
      <c r="T530" s="131">
        <f>+'[1]DEKK AKMERKEZ'!R515</f>
        <v>0</v>
      </c>
      <c r="U530" s="131"/>
      <c r="V530" s="131"/>
      <c r="W530" s="131">
        <f>+'[1]DEKK AKMERKEZ'!U515</f>
        <v>0</v>
      </c>
      <c r="X530" s="131"/>
      <c r="Y530" s="131"/>
      <c r="Z530" s="131">
        <f>+'[1]DEKK AKMERKEZ'!X515</f>
        <v>0</v>
      </c>
      <c r="AA530" s="131"/>
      <c r="AB530" s="131"/>
      <c r="AC530" s="131">
        <f>+'[1]DEKK AKMERKEZ'!AA515</f>
        <v>0</v>
      </c>
      <c r="AD530" s="131"/>
      <c r="AE530" s="131"/>
      <c r="AF530" s="131">
        <f>+'[1]DEKK AKMERKEZ'!AD515</f>
        <v>0</v>
      </c>
      <c r="AG530" s="131"/>
      <c r="AH530" s="131"/>
      <c r="AI530" s="131">
        <f>+'[1]DEKK AKMERKEZ'!AG515</f>
        <v>0</v>
      </c>
      <c r="AJ530" s="132"/>
      <c r="AK530" s="132"/>
      <c r="AL530" s="133">
        <f>+'[1]DEKK AKMERKEZ'!AJ515</f>
        <v>0</v>
      </c>
    </row>
    <row r="531" spans="1:38" x14ac:dyDescent="0.25">
      <c r="A531" s="85" t="s">
        <v>71</v>
      </c>
      <c r="B531" s="32" t="s">
        <v>76</v>
      </c>
      <c r="C531" s="33" t="s">
        <v>33</v>
      </c>
      <c r="D531" s="34" t="s">
        <v>29</v>
      </c>
      <c r="E531" s="129">
        <f>SUM(E527:E530)</f>
        <v>0</v>
      </c>
      <c r="F531" s="130"/>
      <c r="G531" s="130"/>
      <c r="H531" s="129">
        <f>SUM(H527:H530)</f>
        <v>0</v>
      </c>
      <c r="I531" s="131"/>
      <c r="J531" s="131"/>
      <c r="K531" s="129">
        <f>SUM(K527:K530)</f>
        <v>0</v>
      </c>
      <c r="L531" s="131"/>
      <c r="M531" s="131"/>
      <c r="N531" s="129">
        <f>SUM(N527:N530)</f>
        <v>0</v>
      </c>
      <c r="O531" s="131"/>
      <c r="P531" s="131"/>
      <c r="Q531" s="129">
        <f>SUM(Q527:Q530)</f>
        <v>0.76</v>
      </c>
      <c r="R531" s="131"/>
      <c r="S531" s="131"/>
      <c r="T531" s="129">
        <f>SUM(T527:T530)</f>
        <v>0</v>
      </c>
      <c r="U531" s="131"/>
      <c r="V531" s="131"/>
      <c r="W531" s="129">
        <f>SUM(W527:W530)</f>
        <v>0</v>
      </c>
      <c r="X531" s="131"/>
      <c r="Y531" s="131"/>
      <c r="Z531" s="129">
        <f>SUM(Z527:Z530)</f>
        <v>0</v>
      </c>
      <c r="AA531" s="131"/>
      <c r="AB531" s="131"/>
      <c r="AC531" s="129">
        <f>SUM(AC527:AC530)</f>
        <v>0</v>
      </c>
      <c r="AD531" s="131"/>
      <c r="AE531" s="131"/>
      <c r="AF531" s="129">
        <f>SUM(AF527:AF530)</f>
        <v>0</v>
      </c>
      <c r="AG531" s="131"/>
      <c r="AH531" s="131"/>
      <c r="AI531" s="129">
        <f>SUM(AI527:AI530)</f>
        <v>0</v>
      </c>
      <c r="AJ531" s="132"/>
      <c r="AK531" s="132"/>
      <c r="AL531" s="134">
        <f>SUM(AL527:AL530)</f>
        <v>0</v>
      </c>
    </row>
    <row r="532" spans="1:38" x14ac:dyDescent="0.25">
      <c r="A532" s="85" t="s">
        <v>71</v>
      </c>
      <c r="B532" s="32" t="s">
        <v>76</v>
      </c>
      <c r="C532" s="33" t="s">
        <v>34</v>
      </c>
      <c r="D532" s="34" t="s">
        <v>23</v>
      </c>
      <c r="E532" s="35">
        <f>+'[1]DEKK AKMERKEZ'!C519+'[1]DEKK AKMERKEZ'!C520+'[1]DEKK AKMERKEZ'!C521+'[1]DEKK AKMERKEZ'!C522</f>
        <v>0</v>
      </c>
      <c r="F532" s="36"/>
      <c r="G532" s="36"/>
      <c r="H532" s="35">
        <f>+'[1]DEKK AKMERKEZ'!F519+'[1]DEKK AKMERKEZ'!F520+'[1]DEKK AKMERKEZ'!F521+'[1]DEKK AKMERKEZ'!F522</f>
        <v>0</v>
      </c>
      <c r="I532" s="18"/>
      <c r="J532" s="18"/>
      <c r="K532" s="35">
        <f>+'[1]DEKK AKMERKEZ'!I519+'[1]DEKK AKMERKEZ'!I520+'[1]DEKK AKMERKEZ'!I521+'[1]DEKK AKMERKEZ'!I522</f>
        <v>0</v>
      </c>
      <c r="L532" s="18"/>
      <c r="M532" s="18"/>
      <c r="N532" s="35">
        <f>+'[1]DEKK AKMERKEZ'!L519+'[1]DEKK AKMERKEZ'!L520+'[1]DEKK AKMERKEZ'!L521+'[1]DEKK AKMERKEZ'!L522</f>
        <v>0</v>
      </c>
      <c r="O532" s="18"/>
      <c r="P532" s="18"/>
      <c r="Q532" s="35">
        <f>+'[1]DEKK AKMERKEZ'!O519+'[1]DEKK AKMERKEZ'!O520+'[1]DEKK AKMERKEZ'!O521+'[1]DEKK AKMERKEZ'!O522</f>
        <v>0</v>
      </c>
      <c r="R532" s="18"/>
      <c r="S532" s="18"/>
      <c r="T532" s="35">
        <f>+'[1]DEKK AKMERKEZ'!R519+'[1]DEKK AKMERKEZ'!R520+'[1]DEKK AKMERKEZ'!R521+'[1]DEKK AKMERKEZ'!R522</f>
        <v>0</v>
      </c>
      <c r="U532" s="18"/>
      <c r="V532" s="18"/>
      <c r="W532" s="35">
        <f>+'[1]DEKK AKMERKEZ'!U519+'[1]DEKK AKMERKEZ'!U520+'[1]DEKK AKMERKEZ'!U521+'[1]DEKK AKMERKEZ'!U522</f>
        <v>0</v>
      </c>
      <c r="X532" s="18"/>
      <c r="Y532" s="18"/>
      <c r="Z532" s="35">
        <f>+'[1]DEKK AKMERKEZ'!X519+'[1]DEKK AKMERKEZ'!X520+'[1]DEKK AKMERKEZ'!X521+'[1]DEKK AKMERKEZ'!X522</f>
        <v>0</v>
      </c>
      <c r="AA532" s="18"/>
      <c r="AB532" s="18"/>
      <c r="AC532" s="35">
        <f>+'[1]DEKK AKMERKEZ'!AA519+'[1]DEKK AKMERKEZ'!AA520+'[1]DEKK AKMERKEZ'!AA521+'[1]DEKK AKMERKEZ'!AA522</f>
        <v>0</v>
      </c>
      <c r="AD532" s="18"/>
      <c r="AE532" s="18"/>
      <c r="AF532" s="35">
        <f>+'[1]DEKK AKMERKEZ'!AD519+'[1]DEKK AKMERKEZ'!AD520+'[1]DEKK AKMERKEZ'!AD521+'[1]DEKK AKMERKEZ'!AD522</f>
        <v>0</v>
      </c>
      <c r="AG532" s="18"/>
      <c r="AH532" s="18"/>
      <c r="AI532" s="35">
        <f>+'[1]DEKK AKMERKEZ'!AG519+'[1]DEKK AKMERKEZ'!AG520+'[1]DEKK AKMERKEZ'!AG521+'[1]DEKK AKMERKEZ'!AG522</f>
        <v>0</v>
      </c>
      <c r="AJ532" s="19"/>
      <c r="AK532" s="19"/>
      <c r="AL532" s="92">
        <f>+'[1]DEKK AKMERKEZ'!AJ519+'[1]DEKK AKMERKEZ'!AJ520+'[1]DEKK AKMERKEZ'!AJ521+'[1]DEKK AKMERKEZ'!AJ522</f>
        <v>0</v>
      </c>
    </row>
    <row r="533" spans="1:38" x14ac:dyDescent="0.25">
      <c r="A533" s="85" t="s">
        <v>71</v>
      </c>
      <c r="B533" s="32" t="s">
        <v>76</v>
      </c>
      <c r="C533" s="33" t="s">
        <v>35</v>
      </c>
      <c r="D533" s="34" t="s">
        <v>23</v>
      </c>
      <c r="E533" s="35">
        <f>+'[1]DEKK AKMERKEZ'!C523</f>
        <v>0</v>
      </c>
      <c r="F533" s="36"/>
      <c r="G533" s="36"/>
      <c r="H533" s="35">
        <f>+'[1]DEKK AKMERKEZ'!F523</f>
        <v>0</v>
      </c>
      <c r="I533" s="18"/>
      <c r="J533" s="18"/>
      <c r="K533" s="35">
        <f>+'[1]DEKK AKMERKEZ'!I523</f>
        <v>0</v>
      </c>
      <c r="L533" s="18"/>
      <c r="M533" s="18"/>
      <c r="N533" s="35">
        <f>+'[1]DEKK AKMERKEZ'!L523</f>
        <v>0</v>
      </c>
      <c r="O533" s="18"/>
      <c r="P533" s="18"/>
      <c r="Q533" s="35">
        <f>+'[1]DEKK AKMERKEZ'!O523</f>
        <v>94903.93</v>
      </c>
      <c r="R533" s="18"/>
      <c r="S533" s="18"/>
      <c r="T533" s="35">
        <f>+'[1]DEKK AKMERKEZ'!R523</f>
        <v>0</v>
      </c>
      <c r="U533" s="18"/>
      <c r="V533" s="18"/>
      <c r="W533" s="35">
        <f>+'[1]DEKK AKMERKEZ'!U523</f>
        <v>0</v>
      </c>
      <c r="X533" s="18"/>
      <c r="Y533" s="18"/>
      <c r="Z533" s="35">
        <f>+'[1]DEKK AKMERKEZ'!X523</f>
        <v>0</v>
      </c>
      <c r="AA533" s="18"/>
      <c r="AB533" s="18"/>
      <c r="AC533" s="35">
        <f>+'[1]DEKK AKMERKEZ'!AA523</f>
        <v>0</v>
      </c>
      <c r="AD533" s="18"/>
      <c r="AE533" s="18"/>
      <c r="AF533" s="35">
        <f>+'[1]DEKK AKMERKEZ'!AD523</f>
        <v>0</v>
      </c>
      <c r="AG533" s="18"/>
      <c r="AH533" s="18"/>
      <c r="AI533" s="35">
        <f>+'[1]DEKK AKMERKEZ'!AG523</f>
        <v>0</v>
      </c>
      <c r="AJ533" s="19"/>
      <c r="AK533" s="19"/>
      <c r="AL533" s="92">
        <f>+'[1]DEKK AKMERKEZ'!AJ523</f>
        <v>0</v>
      </c>
    </row>
    <row r="534" spans="1:38" x14ac:dyDescent="0.25">
      <c r="A534" s="85" t="s">
        <v>71</v>
      </c>
      <c r="B534" s="32" t="s">
        <v>76</v>
      </c>
      <c r="C534" s="33" t="s">
        <v>36</v>
      </c>
      <c r="D534" s="34" t="s">
        <v>23</v>
      </c>
      <c r="E534" s="35">
        <f>+'[1]DEKK AKMERKEZ'!C524</f>
        <v>0</v>
      </c>
      <c r="F534" s="36"/>
      <c r="G534" s="36"/>
      <c r="H534" s="35">
        <f>+'[1]DEKK AKMERKEZ'!F524</f>
        <v>0</v>
      </c>
      <c r="I534" s="18"/>
      <c r="J534" s="18"/>
      <c r="K534" s="35">
        <f>+'[1]DEKK AKMERKEZ'!I524</f>
        <v>0</v>
      </c>
      <c r="L534" s="18"/>
      <c r="M534" s="18"/>
      <c r="N534" s="35">
        <f>+'[1]DEKK AKMERKEZ'!L524</f>
        <v>0</v>
      </c>
      <c r="O534" s="18"/>
      <c r="P534" s="18"/>
      <c r="Q534" s="35">
        <f>+'[1]DEKK AKMERKEZ'!O524</f>
        <v>0</v>
      </c>
      <c r="R534" s="18"/>
      <c r="S534" s="18"/>
      <c r="T534" s="35">
        <f>+'[1]DEKK AKMERKEZ'!R524</f>
        <v>0</v>
      </c>
      <c r="U534" s="18"/>
      <c r="V534" s="18"/>
      <c r="W534" s="35">
        <f>+'[1]DEKK AKMERKEZ'!U524</f>
        <v>112734.38</v>
      </c>
      <c r="X534" s="18"/>
      <c r="Y534" s="18"/>
      <c r="Z534" s="35">
        <f>+'[1]DEKK AKMERKEZ'!X524</f>
        <v>0</v>
      </c>
      <c r="AA534" s="18"/>
      <c r="AB534" s="18"/>
      <c r="AC534" s="35">
        <f>+'[1]DEKK AKMERKEZ'!AA524</f>
        <v>0</v>
      </c>
      <c r="AD534" s="18"/>
      <c r="AE534" s="18"/>
      <c r="AF534" s="35">
        <f>+'[1]DEKK AKMERKEZ'!AD524</f>
        <v>0</v>
      </c>
      <c r="AG534" s="18"/>
      <c r="AH534" s="18"/>
      <c r="AI534" s="35">
        <f>+'[1]DEKK AKMERKEZ'!AG524</f>
        <v>0</v>
      </c>
      <c r="AJ534" s="19"/>
      <c r="AK534" s="19"/>
      <c r="AL534" s="92">
        <f>+'[1]DEKK AKMERKEZ'!AJ524</f>
        <v>0</v>
      </c>
    </row>
    <row r="535" spans="1:38" x14ac:dyDescent="0.25">
      <c r="A535" s="85" t="s">
        <v>71</v>
      </c>
      <c r="B535" s="32" t="s">
        <v>76</v>
      </c>
      <c r="C535" s="33" t="s">
        <v>37</v>
      </c>
      <c r="D535" s="34" t="s">
        <v>23</v>
      </c>
      <c r="E535" s="37">
        <f>SUM(E532:E534)</f>
        <v>0</v>
      </c>
      <c r="F535" s="38"/>
      <c r="G535" s="38"/>
      <c r="H535" s="37">
        <f>SUM(H532:H534)</f>
        <v>0</v>
      </c>
      <c r="I535" s="39"/>
      <c r="J535" s="39"/>
      <c r="K535" s="37">
        <f>SUM(K532:K534)</f>
        <v>0</v>
      </c>
      <c r="L535" s="39"/>
      <c r="M535" s="39"/>
      <c r="N535" s="37">
        <f>SUM(N532:N534)</f>
        <v>0</v>
      </c>
      <c r="O535" s="39"/>
      <c r="P535" s="39"/>
      <c r="Q535" s="37">
        <f>SUM(Q532:Q534)</f>
        <v>94903.93</v>
      </c>
      <c r="R535" s="39"/>
      <c r="S535" s="39"/>
      <c r="T535" s="37">
        <f>SUM(T532:T534)</f>
        <v>0</v>
      </c>
      <c r="U535" s="39"/>
      <c r="V535" s="39"/>
      <c r="W535" s="37">
        <f>SUM(W532:W534)</f>
        <v>112734.38</v>
      </c>
      <c r="X535" s="39"/>
      <c r="Y535" s="39"/>
      <c r="Z535" s="37">
        <f>SUM(Z532:Z534)</f>
        <v>0</v>
      </c>
      <c r="AA535" s="39"/>
      <c r="AB535" s="39"/>
      <c r="AC535" s="37">
        <f>SUM(AC532:AC534)</f>
        <v>0</v>
      </c>
      <c r="AD535" s="39"/>
      <c r="AE535" s="39"/>
      <c r="AF535" s="37">
        <f>SUM(AF532:AF534)</f>
        <v>0</v>
      </c>
      <c r="AG535" s="39"/>
      <c r="AH535" s="39"/>
      <c r="AI535" s="37">
        <f>SUM(AI532:AI534)</f>
        <v>0</v>
      </c>
      <c r="AJ535" s="40"/>
      <c r="AK535" s="40"/>
      <c r="AL535" s="93">
        <f>SUM(AL532:AL534)</f>
        <v>0</v>
      </c>
    </row>
    <row r="536" spans="1:38" x14ac:dyDescent="0.25">
      <c r="A536" s="73" t="s">
        <v>71</v>
      </c>
      <c r="B536" s="6" t="s">
        <v>76</v>
      </c>
      <c r="C536" s="7" t="s">
        <v>38</v>
      </c>
      <c r="D536" s="8" t="s">
        <v>23</v>
      </c>
      <c r="E536" s="28">
        <f>IFERROR(E535/E531,0)</f>
        <v>0</v>
      </c>
      <c r="F536" s="29"/>
      <c r="G536" s="29"/>
      <c r="H536" s="28">
        <f>IFERROR(H535/H531,0)</f>
        <v>0</v>
      </c>
      <c r="I536" s="30"/>
      <c r="J536" s="30"/>
      <c r="K536" s="28">
        <f>IFERROR(K535/K531,0)</f>
        <v>0</v>
      </c>
      <c r="L536" s="30"/>
      <c r="M536" s="30"/>
      <c r="N536" s="28">
        <f>IFERROR(N535/N531,0)</f>
        <v>0</v>
      </c>
      <c r="O536" s="30"/>
      <c r="P536" s="30"/>
      <c r="Q536" s="28">
        <f>IFERROR(Q535/Q531,0)</f>
        <v>124873.59210526315</v>
      </c>
      <c r="R536" s="30"/>
      <c r="S536" s="30"/>
      <c r="T536" s="28">
        <f>IFERROR(T535/T531,0)</f>
        <v>0</v>
      </c>
      <c r="U536" s="30"/>
      <c r="V536" s="30"/>
      <c r="W536" s="28">
        <f>IFERROR(W535/W531,0)</f>
        <v>0</v>
      </c>
      <c r="X536" s="30"/>
      <c r="Y536" s="30"/>
      <c r="Z536" s="28">
        <f>IFERROR(Z535/Z531,0)</f>
        <v>0</v>
      </c>
      <c r="AA536" s="30"/>
      <c r="AB536" s="30"/>
      <c r="AC536" s="28">
        <f>IFERROR(AC535/AC531,0)</f>
        <v>0</v>
      </c>
      <c r="AD536" s="30"/>
      <c r="AE536" s="30"/>
      <c r="AF536" s="28">
        <f>IFERROR(AF535/AF531,0)</f>
        <v>0</v>
      </c>
      <c r="AG536" s="30"/>
      <c r="AH536" s="30"/>
      <c r="AI536" s="28">
        <f>IFERROR(AI535/AI531,0)</f>
        <v>0</v>
      </c>
      <c r="AJ536" s="31"/>
      <c r="AK536" s="31"/>
      <c r="AL536" s="94">
        <f>IFERROR(AL535/AL531,0)</f>
        <v>0</v>
      </c>
    </row>
    <row r="537" spans="1:38" x14ac:dyDescent="0.25">
      <c r="A537" s="73" t="s">
        <v>71</v>
      </c>
      <c r="B537" s="6" t="s">
        <v>76</v>
      </c>
      <c r="C537" s="7" t="s">
        <v>39</v>
      </c>
      <c r="D537" s="8" t="s">
        <v>23</v>
      </c>
      <c r="E537" s="41">
        <f>+'[1]DEKK AKMERKEZ'!C548</f>
        <v>0</v>
      </c>
      <c r="F537" s="42"/>
      <c r="G537" s="42"/>
      <c r="H537" s="43">
        <f>+'[1]DEKK AKMERKEZ'!F548</f>
        <v>0</v>
      </c>
      <c r="I537" s="43"/>
      <c r="J537" s="43"/>
      <c r="K537" s="43">
        <f>+'[1]DEKK AKMERKEZ'!I548</f>
        <v>0</v>
      </c>
      <c r="L537" s="43"/>
      <c r="M537" s="43"/>
      <c r="N537" s="43">
        <f>+'[1]DEKK AKMERKEZ'!L548</f>
        <v>0</v>
      </c>
      <c r="O537" s="43"/>
      <c r="P537" s="43"/>
      <c r="Q537" s="43">
        <f>+'[1]DEKK AKMERKEZ'!O548</f>
        <v>0</v>
      </c>
      <c r="R537" s="43"/>
      <c r="S537" s="43"/>
      <c r="T537" s="43">
        <f>+'[1]DEKK AKMERKEZ'!R548</f>
        <v>0</v>
      </c>
      <c r="U537" s="43"/>
      <c r="V537" s="43"/>
      <c r="W537" s="43">
        <f>+'[1]DEKK AKMERKEZ'!U548</f>
        <v>0</v>
      </c>
      <c r="X537" s="43"/>
      <c r="Y537" s="43"/>
      <c r="Z537" s="43">
        <f>+'[1]DEKK AKMERKEZ'!X548</f>
        <v>0</v>
      </c>
      <c r="AA537" s="43"/>
      <c r="AB537" s="43"/>
      <c r="AC537" s="43">
        <f>+'[1]DEKK AKMERKEZ'!AA548</f>
        <v>0</v>
      </c>
      <c r="AD537" s="43"/>
      <c r="AE537" s="43"/>
      <c r="AF537" s="43">
        <f>+'[1]DEKK AKMERKEZ'!AD548</f>
        <v>0</v>
      </c>
      <c r="AG537" s="43"/>
      <c r="AH537" s="43"/>
      <c r="AI537" s="43">
        <f>+'[1]DEKK AKMERKEZ'!AG548</f>
        <v>0</v>
      </c>
      <c r="AJ537" s="44"/>
      <c r="AK537" s="44"/>
      <c r="AL537" s="95">
        <f>+'[1]DEKK AKMERKEZ'!AJ548</f>
        <v>0</v>
      </c>
    </row>
    <row r="538" spans="1:38" x14ac:dyDescent="0.25">
      <c r="A538" s="73" t="s">
        <v>71</v>
      </c>
      <c r="B538" s="6" t="s">
        <v>76</v>
      </c>
      <c r="C538" s="7" t="s">
        <v>40</v>
      </c>
      <c r="D538" s="34" t="s">
        <v>23</v>
      </c>
      <c r="E538" s="45">
        <f>+'[1]DEKK AKMERKEZ'!C549</f>
        <v>0</v>
      </c>
      <c r="F538" s="46"/>
      <c r="G538" s="46"/>
      <c r="H538" s="47">
        <f>+'[1]DEKK AKMERKEZ'!F549</f>
        <v>0</v>
      </c>
      <c r="I538" s="47"/>
      <c r="J538" s="47"/>
      <c r="K538" s="47">
        <f>+'[1]DEKK AKMERKEZ'!I549</f>
        <v>0</v>
      </c>
      <c r="L538" s="47"/>
      <c r="M538" s="47"/>
      <c r="N538" s="47">
        <f>+'[1]DEKK AKMERKEZ'!L549</f>
        <v>0</v>
      </c>
      <c r="O538" s="47"/>
      <c r="P538" s="47"/>
      <c r="Q538" s="47">
        <f>+'[1]DEKK AKMERKEZ'!O549</f>
        <v>0</v>
      </c>
      <c r="R538" s="47"/>
      <c r="S538" s="47"/>
      <c r="T538" s="47">
        <f>+'[1]DEKK AKMERKEZ'!R549</f>
        <v>0</v>
      </c>
      <c r="U538" s="47"/>
      <c r="V538" s="47"/>
      <c r="W538" s="47">
        <f>+'[1]DEKK AKMERKEZ'!U549</f>
        <v>0</v>
      </c>
      <c r="X538" s="47"/>
      <c r="Y538" s="47"/>
      <c r="Z538" s="47">
        <f>+'[1]DEKK AKMERKEZ'!X549</f>
        <v>0</v>
      </c>
      <c r="AA538" s="47"/>
      <c r="AB538" s="47"/>
      <c r="AC538" s="47">
        <f>+'[1]DEKK AKMERKEZ'!AA549</f>
        <v>0</v>
      </c>
      <c r="AD538" s="47"/>
      <c r="AE538" s="47"/>
      <c r="AF538" s="47">
        <f>+'[1]DEKK AKMERKEZ'!AD549</f>
        <v>0</v>
      </c>
      <c r="AG538" s="47"/>
      <c r="AH538" s="47"/>
      <c r="AI538" s="47">
        <f>+'[1]DEKK AKMERKEZ'!AG549</f>
        <v>0</v>
      </c>
      <c r="AJ538" s="48"/>
      <c r="AK538" s="48"/>
      <c r="AL538" s="96">
        <f>+'[1]DEKK AKMERKEZ'!AJ549</f>
        <v>0</v>
      </c>
    </row>
    <row r="539" spans="1:38" x14ac:dyDescent="0.25">
      <c r="A539" s="73" t="s">
        <v>71</v>
      </c>
      <c r="B539" s="6" t="s">
        <v>76</v>
      </c>
      <c r="C539" s="7" t="s">
        <v>41</v>
      </c>
      <c r="D539" s="34" t="s">
        <v>23</v>
      </c>
      <c r="E539" s="45">
        <f>+'[1]DEKK AKMERKEZ'!C550</f>
        <v>0</v>
      </c>
      <c r="F539" s="46"/>
      <c r="G539" s="46"/>
      <c r="H539" s="47">
        <f>+'[1]DEKK AKMERKEZ'!F550</f>
        <v>0</v>
      </c>
      <c r="I539" s="47"/>
      <c r="J539" s="47"/>
      <c r="K539" s="47">
        <f>+'[1]DEKK AKMERKEZ'!I550</f>
        <v>0</v>
      </c>
      <c r="L539" s="47"/>
      <c r="M539" s="47"/>
      <c r="N539" s="47">
        <f>+'[1]DEKK AKMERKEZ'!L550</f>
        <v>0</v>
      </c>
      <c r="O539" s="47"/>
      <c r="P539" s="47"/>
      <c r="Q539" s="47">
        <f>+'[1]DEKK AKMERKEZ'!O550</f>
        <v>0</v>
      </c>
      <c r="R539" s="47"/>
      <c r="S539" s="47"/>
      <c r="T539" s="47">
        <f>+'[1]DEKK AKMERKEZ'!R550</f>
        <v>0</v>
      </c>
      <c r="U539" s="47"/>
      <c r="V539" s="47"/>
      <c r="W539" s="47">
        <f>+'[1]DEKK AKMERKEZ'!U550</f>
        <v>0</v>
      </c>
      <c r="X539" s="47"/>
      <c r="Y539" s="47"/>
      <c r="Z539" s="47">
        <f>+'[1]DEKK AKMERKEZ'!X550</f>
        <v>0</v>
      </c>
      <c r="AA539" s="47"/>
      <c r="AB539" s="47"/>
      <c r="AC539" s="47">
        <f>+'[1]DEKK AKMERKEZ'!AA550</f>
        <v>0</v>
      </c>
      <c r="AD539" s="47"/>
      <c r="AE539" s="47"/>
      <c r="AF539" s="47">
        <f>+'[1]DEKK AKMERKEZ'!AD550</f>
        <v>0</v>
      </c>
      <c r="AG539" s="47"/>
      <c r="AH539" s="47"/>
      <c r="AI539" s="47">
        <f>+'[1]DEKK AKMERKEZ'!AG550</f>
        <v>0</v>
      </c>
      <c r="AJ539" s="48"/>
      <c r="AK539" s="48"/>
      <c r="AL539" s="96">
        <f>+'[1]DEKK AKMERKEZ'!AJ550</f>
        <v>0</v>
      </c>
    </row>
    <row r="540" spans="1:38" x14ac:dyDescent="0.25">
      <c r="A540" s="73" t="s">
        <v>71</v>
      </c>
      <c r="B540" s="6" t="s">
        <v>76</v>
      </c>
      <c r="C540" s="7" t="s">
        <v>42</v>
      </c>
      <c r="D540" s="34" t="s">
        <v>43</v>
      </c>
      <c r="E540" s="97">
        <v>0</v>
      </c>
      <c r="F540" s="98"/>
      <c r="G540" s="98"/>
      <c r="H540" s="99">
        <v>0</v>
      </c>
      <c r="I540" s="99"/>
      <c r="J540" s="99"/>
      <c r="K540" s="99">
        <v>0</v>
      </c>
      <c r="L540" s="99"/>
      <c r="M540" s="99"/>
      <c r="N540" s="99">
        <v>0</v>
      </c>
      <c r="O540" s="99"/>
      <c r="P540" s="99"/>
      <c r="Q540" s="99">
        <v>0</v>
      </c>
      <c r="R540" s="99"/>
      <c r="S540" s="99"/>
      <c r="T540" s="99">
        <v>0</v>
      </c>
      <c r="U540" s="99"/>
      <c r="V540" s="99"/>
      <c r="W540" s="99">
        <v>0</v>
      </c>
      <c r="X540" s="99"/>
      <c r="Y540" s="99"/>
      <c r="Z540" s="99">
        <v>0</v>
      </c>
      <c r="AA540" s="99"/>
      <c r="AB540" s="99"/>
      <c r="AC540" s="99">
        <v>0</v>
      </c>
      <c r="AD540" s="99"/>
      <c r="AE540" s="99"/>
      <c r="AF540" s="99">
        <v>0</v>
      </c>
      <c r="AG540" s="99"/>
      <c r="AH540" s="99"/>
      <c r="AI540" s="99">
        <v>0</v>
      </c>
      <c r="AJ540" s="100"/>
      <c r="AK540" s="100"/>
      <c r="AL540" s="101">
        <v>0</v>
      </c>
    </row>
    <row r="541" spans="1:38" x14ac:dyDescent="0.25">
      <c r="A541" s="73" t="s">
        <v>71</v>
      </c>
      <c r="B541" s="6" t="s">
        <v>76</v>
      </c>
      <c r="C541" s="7" t="s">
        <v>44</v>
      </c>
      <c r="D541" s="34" t="s">
        <v>45</v>
      </c>
      <c r="E541" s="102">
        <v>0</v>
      </c>
      <c r="F541" s="103"/>
      <c r="G541" s="103"/>
      <c r="H541" s="104">
        <v>0</v>
      </c>
      <c r="I541" s="104"/>
      <c r="J541" s="104"/>
      <c r="K541" s="104">
        <v>0</v>
      </c>
      <c r="L541" s="104"/>
      <c r="M541" s="104"/>
      <c r="N541" s="104">
        <v>0</v>
      </c>
      <c r="O541" s="104"/>
      <c r="P541" s="104"/>
      <c r="Q541" s="104">
        <v>0</v>
      </c>
      <c r="R541" s="104"/>
      <c r="S541" s="104"/>
      <c r="T541" s="104">
        <v>0</v>
      </c>
      <c r="U541" s="104"/>
      <c r="V541" s="104"/>
      <c r="W541" s="104">
        <v>0</v>
      </c>
      <c r="X541" s="104"/>
      <c r="Y541" s="104"/>
      <c r="Z541" s="104">
        <v>0</v>
      </c>
      <c r="AA541" s="104"/>
      <c r="AB541" s="104"/>
      <c r="AC541" s="104">
        <v>0</v>
      </c>
      <c r="AD541" s="104"/>
      <c r="AE541" s="104"/>
      <c r="AF541" s="104">
        <v>0</v>
      </c>
      <c r="AG541" s="104"/>
      <c r="AH541" s="104"/>
      <c r="AI541" s="104">
        <v>0</v>
      </c>
      <c r="AJ541" s="105"/>
      <c r="AK541" s="105"/>
      <c r="AL541" s="106">
        <v>0</v>
      </c>
    </row>
    <row r="542" spans="1:38" x14ac:dyDescent="0.25">
      <c r="A542" s="73" t="s">
        <v>71</v>
      </c>
      <c r="B542" s="6" t="s">
        <v>76</v>
      </c>
      <c r="C542" s="7" t="s">
        <v>46</v>
      </c>
      <c r="D542" s="34" t="s">
        <v>45</v>
      </c>
      <c r="E542" s="107">
        <v>0</v>
      </c>
      <c r="F542" s="108"/>
      <c r="G542" s="108"/>
      <c r="H542" s="109">
        <v>0</v>
      </c>
      <c r="I542" s="109"/>
      <c r="J542" s="109"/>
      <c r="K542" s="109">
        <v>0</v>
      </c>
      <c r="L542" s="109"/>
      <c r="M542" s="109"/>
      <c r="N542" s="109">
        <v>0</v>
      </c>
      <c r="O542" s="109"/>
      <c r="P542" s="109"/>
      <c r="Q542" s="109">
        <v>0</v>
      </c>
      <c r="R542" s="109"/>
      <c r="S542" s="109"/>
      <c r="T542" s="109">
        <v>0</v>
      </c>
      <c r="U542" s="109"/>
      <c r="V542" s="109"/>
      <c r="W542" s="109">
        <v>0</v>
      </c>
      <c r="X542" s="109"/>
      <c r="Y542" s="109"/>
      <c r="Z542" s="109">
        <v>0</v>
      </c>
      <c r="AA542" s="109"/>
      <c r="AB542" s="109"/>
      <c r="AC542" s="109">
        <v>0</v>
      </c>
      <c r="AD542" s="109"/>
      <c r="AE542" s="109"/>
      <c r="AF542" s="109">
        <v>0</v>
      </c>
      <c r="AG542" s="109"/>
      <c r="AH542" s="109"/>
      <c r="AI542" s="109">
        <v>0</v>
      </c>
      <c r="AJ542" s="110"/>
      <c r="AK542" s="110"/>
      <c r="AL542" s="111">
        <v>0</v>
      </c>
    </row>
    <row r="543" spans="1:38" x14ac:dyDescent="0.25">
      <c r="A543" s="73" t="s">
        <v>71</v>
      </c>
      <c r="B543" s="6" t="s">
        <v>76</v>
      </c>
      <c r="C543" s="7" t="s">
        <v>47</v>
      </c>
      <c r="D543" s="8" t="s">
        <v>23</v>
      </c>
      <c r="E543" s="49">
        <f>IFERROR(+E537/E540,0)</f>
        <v>0</v>
      </c>
      <c r="F543" s="50"/>
      <c r="G543" s="50"/>
      <c r="H543" s="51">
        <f>IFERROR(+H537/H540,0)</f>
        <v>0</v>
      </c>
      <c r="I543" s="52"/>
      <c r="J543" s="52"/>
      <c r="K543" s="51">
        <f>IFERROR(+K537/K540,0)</f>
        <v>0</v>
      </c>
      <c r="L543" s="52"/>
      <c r="M543" s="52"/>
      <c r="N543" s="51">
        <f>IFERROR(+N537/N540,0)</f>
        <v>0</v>
      </c>
      <c r="O543" s="52"/>
      <c r="P543" s="52"/>
      <c r="Q543" s="51">
        <f>IFERROR(+Q537/Q540,0)</f>
        <v>0</v>
      </c>
      <c r="R543" s="52"/>
      <c r="S543" s="52"/>
      <c r="T543" s="51">
        <f>IFERROR(+T537/T540,0)</f>
        <v>0</v>
      </c>
      <c r="U543" s="52"/>
      <c r="V543" s="52"/>
      <c r="W543" s="51">
        <f>IFERROR(+W537/W540,0)</f>
        <v>0</v>
      </c>
      <c r="X543" s="52"/>
      <c r="Y543" s="52"/>
      <c r="Z543" s="51">
        <f>IFERROR(+Z537/Z540,0)</f>
        <v>0</v>
      </c>
      <c r="AA543" s="52"/>
      <c r="AB543" s="52"/>
      <c r="AC543" s="51">
        <f>IFERROR(+AC537/AC540,0)</f>
        <v>0</v>
      </c>
      <c r="AD543" s="52"/>
      <c r="AE543" s="52"/>
      <c r="AF543" s="51">
        <f>IFERROR(+AF537/AF540,0)</f>
        <v>0</v>
      </c>
      <c r="AG543" s="52"/>
      <c r="AH543" s="52"/>
      <c r="AI543" s="51">
        <f>IFERROR(+AI537/AI540,0)</f>
        <v>0</v>
      </c>
      <c r="AJ543" s="53"/>
      <c r="AK543" s="53"/>
      <c r="AL543" s="112">
        <f>IFERROR(+AL537/AL540,0)</f>
        <v>0</v>
      </c>
    </row>
    <row r="544" spans="1:38" x14ac:dyDescent="0.25">
      <c r="A544" s="73" t="s">
        <v>71</v>
      </c>
      <c r="B544" s="6" t="s">
        <v>76</v>
      </c>
      <c r="C544" s="7" t="s">
        <v>48</v>
      </c>
      <c r="D544" s="34" t="s">
        <v>23</v>
      </c>
      <c r="E544" s="49">
        <f>IFERROR(+E538/E541,0)</f>
        <v>0</v>
      </c>
      <c r="F544" s="50"/>
      <c r="G544" s="50"/>
      <c r="H544" s="51">
        <f>IFERROR(+H538/H541,0)</f>
        <v>0</v>
      </c>
      <c r="I544" s="52"/>
      <c r="J544" s="52"/>
      <c r="K544" s="51">
        <f>IFERROR(+K538/K541,0)</f>
        <v>0</v>
      </c>
      <c r="L544" s="52"/>
      <c r="M544" s="52"/>
      <c r="N544" s="51">
        <f>IFERROR(+N538/N541,0)</f>
        <v>0</v>
      </c>
      <c r="O544" s="52"/>
      <c r="P544" s="52"/>
      <c r="Q544" s="51">
        <f>IFERROR(+Q538/Q541,0)</f>
        <v>0</v>
      </c>
      <c r="R544" s="52"/>
      <c r="S544" s="52"/>
      <c r="T544" s="51">
        <f>IFERROR(+T538/T541,0)</f>
        <v>0</v>
      </c>
      <c r="U544" s="52"/>
      <c r="V544" s="52"/>
      <c r="W544" s="51">
        <f>IFERROR(+W538/W541,0)</f>
        <v>0</v>
      </c>
      <c r="X544" s="52"/>
      <c r="Y544" s="52"/>
      <c r="Z544" s="51">
        <f>IFERROR(+Z538/Z541,0)</f>
        <v>0</v>
      </c>
      <c r="AA544" s="52"/>
      <c r="AB544" s="52"/>
      <c r="AC544" s="51">
        <f>IFERROR(+AC538/AC541,0)</f>
        <v>0</v>
      </c>
      <c r="AD544" s="52"/>
      <c r="AE544" s="52"/>
      <c r="AF544" s="51">
        <f>IFERROR(+AF538/AF541,0)</f>
        <v>0</v>
      </c>
      <c r="AG544" s="52"/>
      <c r="AH544" s="52"/>
      <c r="AI544" s="51">
        <f>IFERROR(+AI538/AI541,0)</f>
        <v>0</v>
      </c>
      <c r="AJ544" s="53"/>
      <c r="AK544" s="53"/>
      <c r="AL544" s="112">
        <f>IFERROR(+AL538/AL541,0)</f>
        <v>0</v>
      </c>
    </row>
    <row r="545" spans="1:38" x14ac:dyDescent="0.25">
      <c r="A545" s="73" t="s">
        <v>71</v>
      </c>
      <c r="B545" s="6" t="s">
        <v>76</v>
      </c>
      <c r="C545" s="7" t="s">
        <v>49</v>
      </c>
      <c r="D545" s="34" t="s">
        <v>23</v>
      </c>
      <c r="E545" s="54">
        <f>IFERROR(+E539/E542,0)</f>
        <v>0</v>
      </c>
      <c r="F545" s="55"/>
      <c r="G545" s="55"/>
      <c r="H545" s="56">
        <f>IFERROR(+H539/H542,0)</f>
        <v>0</v>
      </c>
      <c r="I545" s="57"/>
      <c r="J545" s="57"/>
      <c r="K545" s="56">
        <f>IFERROR(+K539/K542,0)</f>
        <v>0</v>
      </c>
      <c r="L545" s="57"/>
      <c r="M545" s="57"/>
      <c r="N545" s="56">
        <f>IFERROR(+N539/N542,0)</f>
        <v>0</v>
      </c>
      <c r="O545" s="57"/>
      <c r="P545" s="57"/>
      <c r="Q545" s="56">
        <f>IFERROR(+Q539/Q542,0)</f>
        <v>0</v>
      </c>
      <c r="R545" s="57"/>
      <c r="S545" s="57"/>
      <c r="T545" s="56">
        <f>IFERROR(+T539/T542,0)</f>
        <v>0</v>
      </c>
      <c r="U545" s="57"/>
      <c r="V545" s="57"/>
      <c r="W545" s="56">
        <f>IFERROR(+W539/W542,0)</f>
        <v>0</v>
      </c>
      <c r="X545" s="57"/>
      <c r="Y545" s="57"/>
      <c r="Z545" s="56">
        <f>IFERROR(+Z539/Z542,0)</f>
        <v>0</v>
      </c>
      <c r="AA545" s="57"/>
      <c r="AB545" s="57"/>
      <c r="AC545" s="56">
        <f>IFERROR(+AC539/AC542,0)</f>
        <v>0</v>
      </c>
      <c r="AD545" s="57"/>
      <c r="AE545" s="57"/>
      <c r="AF545" s="56">
        <f>IFERROR(+AF539/AF542,0)</f>
        <v>0</v>
      </c>
      <c r="AG545" s="57"/>
      <c r="AH545" s="57"/>
      <c r="AI545" s="56">
        <f>IFERROR(+AI539/AI542,0)</f>
        <v>0</v>
      </c>
      <c r="AJ545" s="58"/>
      <c r="AK545" s="58"/>
      <c r="AL545" s="113">
        <f>IFERROR(+AL539/AL542,0)</f>
        <v>0</v>
      </c>
    </row>
    <row r="546" spans="1:38" x14ac:dyDescent="0.25">
      <c r="A546" s="73" t="s">
        <v>71</v>
      </c>
      <c r="B546" s="6" t="s">
        <v>76</v>
      </c>
      <c r="C546" s="7" t="s">
        <v>50</v>
      </c>
      <c r="D546" s="8" t="s">
        <v>23</v>
      </c>
      <c r="E546" s="59">
        <f>+'[1]DEKK AKMERKEZ'!C575</f>
        <v>0</v>
      </c>
      <c r="F546" s="60"/>
      <c r="G546" s="60"/>
      <c r="H546" s="61">
        <f>+'[1]DEKK AKMERKEZ'!F575</f>
        <v>0</v>
      </c>
      <c r="I546" s="61"/>
      <c r="J546" s="61"/>
      <c r="K546" s="61">
        <f>+'[1]DEKK AKMERKEZ'!I575</f>
        <v>0</v>
      </c>
      <c r="L546" s="61"/>
      <c r="M546" s="61"/>
      <c r="N546" s="61">
        <f>+'[1]DEKK AKMERKEZ'!L575</f>
        <v>0</v>
      </c>
      <c r="O546" s="61"/>
      <c r="P546" s="61"/>
      <c r="Q546" s="61">
        <f>+'[1]DEKK AKMERKEZ'!O575</f>
        <v>110665.49</v>
      </c>
      <c r="R546" s="61"/>
      <c r="S546" s="61"/>
      <c r="T546" s="61">
        <f>+'[1]DEKK AKMERKEZ'!R575</f>
        <v>31796.51</v>
      </c>
      <c r="U546" s="61"/>
      <c r="V546" s="61"/>
      <c r="W546" s="61">
        <f>+'[1]DEKK AKMERKEZ'!U575</f>
        <v>2413.7800000000002</v>
      </c>
      <c r="X546" s="61"/>
      <c r="Y546" s="61"/>
      <c r="Z546" s="61">
        <f>+'[1]DEKK AKMERKEZ'!X575</f>
        <v>0</v>
      </c>
      <c r="AA546" s="61"/>
      <c r="AB546" s="61"/>
      <c r="AC546" s="61">
        <f>+'[1]DEKK AKMERKEZ'!AA575</f>
        <v>0</v>
      </c>
      <c r="AD546" s="61"/>
      <c r="AE546" s="61"/>
      <c r="AF546" s="61">
        <f>+'[1]DEKK AKMERKEZ'!AD575</f>
        <v>0</v>
      </c>
      <c r="AG546" s="61"/>
      <c r="AH546" s="61"/>
      <c r="AI546" s="61">
        <f>+'[1]DEKK AKMERKEZ'!AG575</f>
        <v>0</v>
      </c>
      <c r="AJ546" s="62"/>
      <c r="AK546" s="62"/>
      <c r="AL546" s="114">
        <f>+'[1]DEKK AKMERKEZ'!AJ575</f>
        <v>0</v>
      </c>
    </row>
    <row r="547" spans="1:38" x14ac:dyDescent="0.25">
      <c r="A547" s="73" t="s">
        <v>71</v>
      </c>
      <c r="B547" s="6" t="s">
        <v>76</v>
      </c>
      <c r="C547" s="7" t="s">
        <v>51</v>
      </c>
      <c r="D547" s="8" t="s">
        <v>20</v>
      </c>
      <c r="E547" s="9"/>
      <c r="F547" s="10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2"/>
      <c r="AK547" s="12"/>
      <c r="AL547" s="74"/>
    </row>
    <row r="548" spans="1:38" x14ac:dyDescent="0.25">
      <c r="A548" s="85" t="s">
        <v>71</v>
      </c>
      <c r="B548" s="32" t="s">
        <v>76</v>
      </c>
      <c r="C548" s="33" t="s">
        <v>52</v>
      </c>
      <c r="D548" s="34" t="s">
        <v>23</v>
      </c>
      <c r="E548" s="24">
        <f>+'[1]DEKK AKMERKEZ'!C583</f>
        <v>0</v>
      </c>
      <c r="F548" s="25"/>
      <c r="G548" s="25"/>
      <c r="H548" s="26">
        <f>+'[1]DEKK AKMERKEZ'!F583</f>
        <v>0</v>
      </c>
      <c r="I548" s="26"/>
      <c r="J548" s="26"/>
      <c r="K548" s="26">
        <f>+'[1]DEKK AKMERKEZ'!I583</f>
        <v>0</v>
      </c>
      <c r="L548" s="26"/>
      <c r="M548" s="26"/>
      <c r="N548" s="26">
        <f>+'[1]DEKK AKMERKEZ'!L583</f>
        <v>0</v>
      </c>
      <c r="O548" s="26"/>
      <c r="P548" s="26"/>
      <c r="Q548" s="26">
        <f>+'[1]DEKK AKMERKEZ'!O583</f>
        <v>0</v>
      </c>
      <c r="R548" s="26"/>
      <c r="S548" s="26"/>
      <c r="T548" s="26">
        <f>+'[1]DEKK AKMERKEZ'!R583</f>
        <v>0</v>
      </c>
      <c r="U548" s="26"/>
      <c r="V548" s="26"/>
      <c r="W548" s="26">
        <f>+'[1]DEKK AKMERKEZ'!U583</f>
        <v>0</v>
      </c>
      <c r="X548" s="26"/>
      <c r="Y548" s="26"/>
      <c r="Z548" s="26">
        <f>+'[1]DEKK AKMERKEZ'!X583</f>
        <v>0</v>
      </c>
      <c r="AA548" s="26"/>
      <c r="AB548" s="26"/>
      <c r="AC548" s="26">
        <f>+'[1]DEKK AKMERKEZ'!AA583</f>
        <v>0</v>
      </c>
      <c r="AD548" s="26"/>
      <c r="AE548" s="26"/>
      <c r="AF548" s="26">
        <f>+'[1]DEKK AKMERKEZ'!AD583</f>
        <v>0</v>
      </c>
      <c r="AG548" s="26"/>
      <c r="AH548" s="26"/>
      <c r="AI548" s="26">
        <f>+'[1]DEKK AKMERKEZ'!AG583</f>
        <v>0</v>
      </c>
      <c r="AJ548" s="27"/>
      <c r="AK548" s="27"/>
      <c r="AL548" s="78">
        <f>+'[1]DEKK AKMERKEZ'!AJ583</f>
        <v>0</v>
      </c>
    </row>
    <row r="549" spans="1:38" x14ac:dyDescent="0.25">
      <c r="A549" s="85" t="s">
        <v>71</v>
      </c>
      <c r="B549" s="32" t="s">
        <v>76</v>
      </c>
      <c r="C549" s="33" t="s">
        <v>53</v>
      </c>
      <c r="D549" s="34" t="s">
        <v>23</v>
      </c>
      <c r="E549" s="28">
        <f>+'[1]DEKK AKMERKEZ'!C592-'[1]DEKK AKMERKEZ'!C525-'[1]DEKK AKMERKEZ'!C530-'[1]DEKK AKMERKEZ'!C547-'[1]DEKK AKMERKEZ'!C575-'[1]DEKK AKMERKEZ'!C583</f>
        <v>0</v>
      </c>
      <c r="F549" s="29"/>
      <c r="G549" s="29"/>
      <c r="H549" s="30">
        <f>+'[1]DEKK AKMERKEZ'!F592-'[1]DEKK AKMERKEZ'!F525-'[1]DEKK AKMERKEZ'!F530-'[1]DEKK AKMERKEZ'!F547-'[1]DEKK AKMERKEZ'!F575-'[1]DEKK AKMERKEZ'!F583</f>
        <v>0</v>
      </c>
      <c r="I549" s="30"/>
      <c r="J549" s="30"/>
      <c r="K549" s="30">
        <f>+'[1]DEKK AKMERKEZ'!I592-'[1]DEKK AKMERKEZ'!I525-'[1]DEKK AKMERKEZ'!I530-'[1]DEKK AKMERKEZ'!I547-'[1]DEKK AKMERKEZ'!I575-'[1]DEKK AKMERKEZ'!I583</f>
        <v>0</v>
      </c>
      <c r="L549" s="30"/>
      <c r="M549" s="30"/>
      <c r="N549" s="30">
        <f>+'[1]DEKK AKMERKEZ'!L592-'[1]DEKK AKMERKEZ'!L525-'[1]DEKK AKMERKEZ'!L530-'[1]DEKK AKMERKEZ'!L547-'[1]DEKK AKMERKEZ'!L575-'[1]DEKK AKMERKEZ'!L583</f>
        <v>0</v>
      </c>
      <c r="O549" s="30"/>
      <c r="P549" s="30"/>
      <c r="Q549" s="30">
        <f>+'[1]DEKK AKMERKEZ'!O592-'[1]DEKK AKMERKEZ'!O525-'[1]DEKK AKMERKEZ'!O530-'[1]DEKK AKMERKEZ'!O547-'[1]DEKK AKMERKEZ'!O575-'[1]DEKK AKMERKEZ'!O583</f>
        <v>-1.4551915228366852E-11</v>
      </c>
      <c r="R549" s="30"/>
      <c r="S549" s="30"/>
      <c r="T549" s="30">
        <f>+'[1]DEKK AKMERKEZ'!R592-'[1]DEKK AKMERKEZ'!R525-'[1]DEKK AKMERKEZ'!R530-'[1]DEKK AKMERKEZ'!R547-'[1]DEKK AKMERKEZ'!R575-'[1]DEKK AKMERKEZ'!R583</f>
        <v>0</v>
      </c>
      <c r="U549" s="30"/>
      <c r="V549" s="30"/>
      <c r="W549" s="30">
        <f>+'[1]DEKK AKMERKEZ'!U592-'[1]DEKK AKMERKEZ'!U525-'[1]DEKK AKMERKEZ'!U530-'[1]DEKK AKMERKEZ'!U547-'[1]DEKK AKMERKEZ'!U575-'[1]DEKK AKMERKEZ'!U583</f>
        <v>1739.9999999999986</v>
      </c>
      <c r="X549" s="30"/>
      <c r="Y549" s="30"/>
      <c r="Z549" s="30">
        <f>+'[1]DEKK AKMERKEZ'!X592-'[1]DEKK AKMERKEZ'!X525-'[1]DEKK AKMERKEZ'!X530-'[1]DEKK AKMERKEZ'!X547-'[1]DEKK AKMERKEZ'!X575-'[1]DEKK AKMERKEZ'!X583</f>
        <v>0</v>
      </c>
      <c r="AA549" s="30"/>
      <c r="AB549" s="30"/>
      <c r="AC549" s="30">
        <f>+'[1]DEKK AKMERKEZ'!AA592-'[1]DEKK AKMERKEZ'!AA525-'[1]DEKK AKMERKEZ'!AA530-'[1]DEKK AKMERKEZ'!AA547-'[1]DEKK AKMERKEZ'!AA575-'[1]DEKK AKMERKEZ'!AA583</f>
        <v>0</v>
      </c>
      <c r="AD549" s="30"/>
      <c r="AE549" s="30"/>
      <c r="AF549" s="30">
        <f>+'[1]DEKK AKMERKEZ'!AD592-'[1]DEKK AKMERKEZ'!AD525-'[1]DEKK AKMERKEZ'!AD530-'[1]DEKK AKMERKEZ'!AD547-'[1]DEKK AKMERKEZ'!AD575-'[1]DEKK AKMERKEZ'!AD583</f>
        <v>0</v>
      </c>
      <c r="AG549" s="30"/>
      <c r="AH549" s="30"/>
      <c r="AI549" s="30">
        <f>+'[1]DEKK AKMERKEZ'!AG592-'[1]DEKK AKMERKEZ'!AG525-'[1]DEKK AKMERKEZ'!AG530-'[1]DEKK AKMERKEZ'!AG547-'[1]DEKK AKMERKEZ'!AG575-'[1]DEKK AKMERKEZ'!AG583</f>
        <v>0</v>
      </c>
      <c r="AJ549" s="31"/>
      <c r="AK549" s="31"/>
      <c r="AL549" s="79">
        <f>+'[1]DEKK AKMERKEZ'!AJ592-'[1]DEKK AKMERKEZ'!AJ525-'[1]DEKK AKMERKEZ'!AJ530-'[1]DEKK AKMERKEZ'!AJ547-'[1]DEKK AKMERKEZ'!AJ575-'[1]DEKK AKMERKEZ'!AJ583</f>
        <v>0</v>
      </c>
    </row>
    <row r="550" spans="1:38" x14ac:dyDescent="0.25">
      <c r="A550" s="85" t="s">
        <v>71</v>
      </c>
      <c r="B550" s="32" t="s">
        <v>76</v>
      </c>
      <c r="C550" s="33" t="s">
        <v>54</v>
      </c>
      <c r="D550" s="34" t="s">
        <v>23</v>
      </c>
      <c r="E550" s="59">
        <f>+E525+E526+E535+E537+E538+E539+E546+E548+E549</f>
        <v>0</v>
      </c>
      <c r="F550" s="60"/>
      <c r="G550" s="60"/>
      <c r="H550" s="61">
        <f>+H525+H526+H535+H537+H538+H539+H546+H548+H549</f>
        <v>0</v>
      </c>
      <c r="I550" s="61"/>
      <c r="J550" s="61"/>
      <c r="K550" s="61">
        <f>+K525+K526+K535+K537+K538+K539+K546+K548+K549</f>
        <v>0</v>
      </c>
      <c r="L550" s="61"/>
      <c r="M550" s="61"/>
      <c r="N550" s="61">
        <f>+N525+N526+N535+N537+N538+N539+N546+N548+N549</f>
        <v>0</v>
      </c>
      <c r="O550" s="61"/>
      <c r="P550" s="61"/>
      <c r="Q550" s="61">
        <f>+Q525+Q526+Q535+Q537+Q538+Q539+Q546+Q548+Q549</f>
        <v>431450.26</v>
      </c>
      <c r="R550" s="61"/>
      <c r="S550" s="61"/>
      <c r="T550" s="61">
        <f>+T525+T526+T535+T537+T538+T539+T546+T548+T549</f>
        <v>62254.78</v>
      </c>
      <c r="U550" s="61"/>
      <c r="V550" s="61"/>
      <c r="W550" s="61">
        <f>+W525+W526+W535+W537+W538+W539+W546+W548+W549</f>
        <v>116888.16</v>
      </c>
      <c r="X550" s="61"/>
      <c r="Y550" s="61"/>
      <c r="Z550" s="61">
        <f>+Z525+Z526+Z535+Z537+Z538+Z539+Z546+Z548+Z549</f>
        <v>0</v>
      </c>
      <c r="AA550" s="61"/>
      <c r="AB550" s="61"/>
      <c r="AC550" s="61">
        <f>+AC525+AC526+AC535+AC537+AC538+AC539+AC546+AC548+AC549</f>
        <v>0</v>
      </c>
      <c r="AD550" s="61"/>
      <c r="AE550" s="61"/>
      <c r="AF550" s="61">
        <f>+AF525+AF526+AF535+AF537+AF538+AF539+AF546+AF548+AF549</f>
        <v>0</v>
      </c>
      <c r="AG550" s="61"/>
      <c r="AH550" s="61"/>
      <c r="AI550" s="61">
        <f>+AI525+AI526+AI535+AI537+AI538+AI539+AI546+AI548+AI549</f>
        <v>0</v>
      </c>
      <c r="AJ550" s="62"/>
      <c r="AK550" s="62"/>
      <c r="AL550" s="114">
        <f>+AL525+AL526+AL535+AL537+AL538+AL539+AL546+AL548+AL549</f>
        <v>0</v>
      </c>
    </row>
    <row r="551" spans="1:38" ht="15.75" thickBot="1" x14ac:dyDescent="0.3">
      <c r="A551" s="115" t="s">
        <v>71</v>
      </c>
      <c r="B551" s="116" t="s">
        <v>76</v>
      </c>
      <c r="C551" s="117" t="s">
        <v>55</v>
      </c>
      <c r="D551" s="118" t="s">
        <v>23</v>
      </c>
      <c r="E551" s="119">
        <f>+E550-'[1]DEKK AKMERKEZ'!C592</f>
        <v>0</v>
      </c>
      <c r="F551" s="120"/>
      <c r="G551" s="120"/>
      <c r="H551" s="121">
        <f>+H550-'[1]DEKK AKMERKEZ'!F592</f>
        <v>0</v>
      </c>
      <c r="I551" s="121"/>
      <c r="J551" s="121"/>
      <c r="K551" s="121">
        <f>+K550-'[1]DEKK AKMERKEZ'!I592</f>
        <v>0</v>
      </c>
      <c r="L551" s="121"/>
      <c r="M551" s="121"/>
      <c r="N551" s="121">
        <f>+N550-'[1]DEKK AKMERKEZ'!L592</f>
        <v>0</v>
      </c>
      <c r="O551" s="121"/>
      <c r="P551" s="121"/>
      <c r="Q551" s="121">
        <f>+Q550-'[1]DEKK AKMERKEZ'!O592</f>
        <v>0</v>
      </c>
      <c r="R551" s="121"/>
      <c r="S551" s="121"/>
      <c r="T551" s="121">
        <f>+T550-'[1]DEKK AKMERKEZ'!R592</f>
        <v>0</v>
      </c>
      <c r="U551" s="121"/>
      <c r="V551" s="121"/>
      <c r="W551" s="121">
        <f>+W550-'[1]DEKK AKMERKEZ'!U592</f>
        <v>0</v>
      </c>
      <c r="X551" s="121"/>
      <c r="Y551" s="121"/>
      <c r="Z551" s="121">
        <f>+Z550-'[1]DEKK AKMERKEZ'!X592</f>
        <v>0</v>
      </c>
      <c r="AA551" s="121"/>
      <c r="AB551" s="121"/>
      <c r="AC551" s="121">
        <f>+AC550-'[1]DEKK AKMERKEZ'!AA592</f>
        <v>0</v>
      </c>
      <c r="AD551" s="121"/>
      <c r="AE551" s="121"/>
      <c r="AF551" s="121">
        <f>+AF550-'[1]DEKK AKMERKEZ'!AD592</f>
        <v>0</v>
      </c>
      <c r="AG551" s="121"/>
      <c r="AH551" s="121"/>
      <c r="AI551" s="121">
        <f>+AI550-'[1]DEKK AKMERKEZ'!AG592</f>
        <v>0</v>
      </c>
      <c r="AJ551" s="122"/>
      <c r="AK551" s="122"/>
      <c r="AL551" s="123">
        <f>+AL550-'[1]DEKK AKMERKEZ'!AJ592</f>
        <v>0</v>
      </c>
    </row>
    <row r="552" spans="1:38" x14ac:dyDescent="0.25">
      <c r="A552" s="64" t="s">
        <v>71</v>
      </c>
      <c r="B552" s="65" t="s">
        <v>77</v>
      </c>
      <c r="C552" s="66" t="s">
        <v>19</v>
      </c>
      <c r="D552" s="67" t="s">
        <v>20</v>
      </c>
      <c r="E552" s="68">
        <f>+'[1]DEKK AKMERKEZ'!C606</f>
        <v>12385</v>
      </c>
      <c r="F552" s="69"/>
      <c r="G552" s="69"/>
      <c r="H552" s="70">
        <f>+'[1]DEKK AKMERKEZ'!F606</f>
        <v>10255</v>
      </c>
      <c r="I552" s="70"/>
      <c r="J552" s="70"/>
      <c r="K552" s="70">
        <f>+'[1]DEKK AKMERKEZ'!I606</f>
        <v>10896</v>
      </c>
      <c r="L552" s="70"/>
      <c r="M552" s="70"/>
      <c r="N552" s="70">
        <f>+'[1]DEKK AKMERKEZ'!L606</f>
        <v>12171</v>
      </c>
      <c r="O552" s="70"/>
      <c r="P552" s="70"/>
      <c r="Q552" s="70">
        <f>+'[1]DEKK AKMERKEZ'!O606</f>
        <v>10443</v>
      </c>
      <c r="R552" s="70"/>
      <c r="S552" s="70"/>
      <c r="T552" s="70">
        <f>+'[1]DEKK AKMERKEZ'!R606</f>
        <v>10940</v>
      </c>
      <c r="U552" s="70"/>
      <c r="V552" s="70"/>
      <c r="W552" s="70">
        <f>+'[1]DEKK AKMERKEZ'!U606</f>
        <v>9482</v>
      </c>
      <c r="X552" s="70"/>
      <c r="Y552" s="70"/>
      <c r="Z552" s="70">
        <f>+'[1]DEKK AKMERKEZ'!X606</f>
        <v>0</v>
      </c>
      <c r="AA552" s="70"/>
      <c r="AB552" s="70"/>
      <c r="AC552" s="70">
        <f>+'[1]DEKK AKMERKEZ'!AA606</f>
        <v>0</v>
      </c>
      <c r="AD552" s="70"/>
      <c r="AE552" s="70"/>
      <c r="AF552" s="70">
        <f>+'[1]DEKK AKMERKEZ'!AD606</f>
        <v>0</v>
      </c>
      <c r="AG552" s="70"/>
      <c r="AH552" s="70"/>
      <c r="AI552" s="70">
        <f>+'[1]DEKK AKMERKEZ'!AG606</f>
        <v>0</v>
      </c>
      <c r="AJ552" s="71"/>
      <c r="AK552" s="71"/>
      <c r="AL552" s="72">
        <f>+'[1]DEKK AKMERKEZ'!AJ606</f>
        <v>0</v>
      </c>
    </row>
    <row r="553" spans="1:38" x14ac:dyDescent="0.25">
      <c r="A553" s="73" t="s">
        <v>71</v>
      </c>
      <c r="B553" s="6" t="s">
        <v>77</v>
      </c>
      <c r="C553" s="7" t="s">
        <v>21</v>
      </c>
      <c r="D553" s="8" t="s">
        <v>20</v>
      </c>
      <c r="E553" s="9"/>
      <c r="F553" s="10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2"/>
      <c r="AK553" s="12"/>
      <c r="AL553" s="74"/>
    </row>
    <row r="554" spans="1:38" x14ac:dyDescent="0.25">
      <c r="A554" s="73" t="s">
        <v>71</v>
      </c>
      <c r="B554" s="6" t="s">
        <v>77</v>
      </c>
      <c r="C554" s="7" t="s">
        <v>22</v>
      </c>
      <c r="D554" s="8" t="s">
        <v>23</v>
      </c>
      <c r="E554" s="13">
        <f>+'[1]DEKK AKMERKEZ'!C601</f>
        <v>7617674.2200000007</v>
      </c>
      <c r="F554" s="14"/>
      <c r="G554" s="14"/>
      <c r="H554" s="15">
        <f>+'[1]DEKK AKMERKEZ'!F601</f>
        <v>6422662.0899999999</v>
      </c>
      <c r="I554" s="14"/>
      <c r="J554" s="14"/>
      <c r="K554" s="13">
        <f>+'[1]DEKK AKMERKEZ'!I601</f>
        <v>7363074.6299999999</v>
      </c>
      <c r="L554" s="14"/>
      <c r="M554" s="14"/>
      <c r="N554" s="15">
        <f>+'[1]DEKK AKMERKEZ'!L601</f>
        <v>7998201.8600000003</v>
      </c>
      <c r="O554" s="15"/>
      <c r="P554" s="15"/>
      <c r="Q554" s="15">
        <f>+'[1]DEKK AKMERKEZ'!O601</f>
        <v>7003217.1300000008</v>
      </c>
      <c r="R554" s="15"/>
      <c r="S554" s="15"/>
      <c r="T554" s="15">
        <f>+'[1]DEKK AKMERKEZ'!R601</f>
        <v>7159910.9199999999</v>
      </c>
      <c r="U554" s="15"/>
      <c r="V554" s="15"/>
      <c r="W554" s="15">
        <f>+'[1]DEKK AKMERKEZ'!U601</f>
        <v>5985613.0799999991</v>
      </c>
      <c r="X554" s="15"/>
      <c r="Y554" s="15"/>
      <c r="Z554" s="15">
        <f>+'[1]DEKK AKMERKEZ'!X601</f>
        <v>0</v>
      </c>
      <c r="AA554" s="15"/>
      <c r="AB554" s="15"/>
      <c r="AC554" s="15">
        <f>+'[1]DEKK AKMERKEZ'!AA601</f>
        <v>0</v>
      </c>
      <c r="AD554" s="15"/>
      <c r="AE554" s="15"/>
      <c r="AF554" s="15">
        <f>+'[1]DEKK AKMERKEZ'!AD601</f>
        <v>0</v>
      </c>
      <c r="AG554" s="15"/>
      <c r="AH554" s="15"/>
      <c r="AI554" s="15">
        <f>+'[1]DEKK AKMERKEZ'!AG601</f>
        <v>0</v>
      </c>
      <c r="AJ554" s="16"/>
      <c r="AK554" s="16"/>
      <c r="AL554" s="75">
        <f>+'[1]DEKK AKMERKEZ'!AJ601</f>
        <v>0</v>
      </c>
    </row>
    <row r="555" spans="1:38" x14ac:dyDescent="0.25">
      <c r="A555" s="73" t="s">
        <v>71</v>
      </c>
      <c r="B555" s="6" t="s">
        <v>77</v>
      </c>
      <c r="C555" s="7" t="s">
        <v>24</v>
      </c>
      <c r="D555" s="8" t="s">
        <v>23</v>
      </c>
      <c r="E555" s="13">
        <f>+'[1]DEKK AKMERKEZ'!C602</f>
        <v>724061.03</v>
      </c>
      <c r="F555" s="17"/>
      <c r="G555" s="17"/>
      <c r="H555" s="18">
        <f>+'[1]DEKK AKMERKEZ'!F602</f>
        <v>529505.4</v>
      </c>
      <c r="I555" s="18"/>
      <c r="J555" s="18"/>
      <c r="K555" s="18">
        <f>+'[1]DEKK AKMERKEZ'!I602</f>
        <v>567346.39</v>
      </c>
      <c r="L555" s="18"/>
      <c r="M555" s="18"/>
      <c r="N555" s="18">
        <f>+'[1]DEKK AKMERKEZ'!L602</f>
        <v>616306.16999999993</v>
      </c>
      <c r="O555" s="18"/>
      <c r="P555" s="18"/>
      <c r="Q555" s="18">
        <f>+'[1]DEKK AKMERKEZ'!O602</f>
        <v>562830.3600000001</v>
      </c>
      <c r="R555" s="18"/>
      <c r="S555" s="18"/>
      <c r="T555" s="18">
        <f>+'[1]DEKK AKMERKEZ'!R602</f>
        <v>507155.09999999992</v>
      </c>
      <c r="U555" s="18"/>
      <c r="V555" s="18"/>
      <c r="W555" s="18">
        <f>+'[1]DEKK AKMERKEZ'!U602</f>
        <v>389839.33</v>
      </c>
      <c r="X555" s="18"/>
      <c r="Y555" s="18"/>
      <c r="Z555" s="18">
        <f>+'[1]DEKK AKMERKEZ'!X602</f>
        <v>0</v>
      </c>
      <c r="AA555" s="18"/>
      <c r="AB555" s="18"/>
      <c r="AC555" s="18">
        <f>+'[1]DEKK AKMERKEZ'!AA602</f>
        <v>0</v>
      </c>
      <c r="AD555" s="18"/>
      <c r="AE555" s="18"/>
      <c r="AF555" s="18">
        <f>+'[1]DEKK AKMERKEZ'!AD602</f>
        <v>0</v>
      </c>
      <c r="AG555" s="18"/>
      <c r="AH555" s="18"/>
      <c r="AI555" s="18">
        <f>+'[1]DEKK AKMERKEZ'!AG602</f>
        <v>0</v>
      </c>
      <c r="AJ555" s="19"/>
      <c r="AK555" s="19"/>
      <c r="AL555" s="76">
        <f>+'[1]DEKK AKMERKEZ'!AJ602</f>
        <v>0</v>
      </c>
    </row>
    <row r="556" spans="1:38" x14ac:dyDescent="0.25">
      <c r="A556" s="73" t="s">
        <v>71</v>
      </c>
      <c r="B556" s="6" t="s">
        <v>77</v>
      </c>
      <c r="C556" s="7" t="s">
        <v>25</v>
      </c>
      <c r="D556" s="8" t="s">
        <v>23</v>
      </c>
      <c r="E556" s="20">
        <f>+'[1]DEKK AKMERKEZ'!C605-'[1]DEKK AKMERKEZ'!C601-'[1]DEKK AKMERKEZ'!C602</f>
        <v>1600325.9999999993</v>
      </c>
      <c r="F556" s="21"/>
      <c r="G556" s="21"/>
      <c r="H556" s="22">
        <f>+'[1]DEKK AKMERKEZ'!F605-'[1]DEKK AKMERKEZ'!F601-'[1]DEKK AKMERKEZ'!F602</f>
        <v>1221055.1299999994</v>
      </c>
      <c r="I556" s="22"/>
      <c r="J556" s="22"/>
      <c r="K556" s="22">
        <f>+'[1]DEKK AKMERKEZ'!I605-'[1]DEKK AKMERKEZ'!I601-'[1]DEKK AKMERKEZ'!I602</f>
        <v>1429194.15</v>
      </c>
      <c r="L556" s="22"/>
      <c r="M556" s="22"/>
      <c r="N556" s="22">
        <f>+'[1]DEKK AKMERKEZ'!L605-'[1]DEKK AKMERKEZ'!L601-'[1]DEKK AKMERKEZ'!L602</f>
        <v>1448170.3399999989</v>
      </c>
      <c r="O556" s="22"/>
      <c r="P556" s="22"/>
      <c r="Q556" s="22">
        <f>+'[1]DEKK AKMERKEZ'!O605-'[1]DEKK AKMERKEZ'!O601-'[1]DEKK AKMERKEZ'!O602</f>
        <v>1493325.429999999</v>
      </c>
      <c r="R556" s="22"/>
      <c r="S556" s="22"/>
      <c r="T556" s="22">
        <f>+'[1]DEKK AKMERKEZ'!R605-'[1]DEKK AKMERKEZ'!R601-'[1]DEKK AKMERKEZ'!R602</f>
        <v>1367307.8000000005</v>
      </c>
      <c r="U556" s="22"/>
      <c r="V556" s="22"/>
      <c r="W556" s="22">
        <f>+'[1]DEKK AKMERKEZ'!U605-'[1]DEKK AKMERKEZ'!U601-'[1]DEKK AKMERKEZ'!U602</f>
        <v>1160594.21</v>
      </c>
      <c r="X556" s="22"/>
      <c r="Y556" s="22"/>
      <c r="Z556" s="22">
        <f>+'[1]DEKK AKMERKEZ'!X605-'[1]DEKK AKMERKEZ'!X601-'[1]DEKK AKMERKEZ'!X602</f>
        <v>0</v>
      </c>
      <c r="AA556" s="22"/>
      <c r="AB556" s="22"/>
      <c r="AC556" s="22">
        <f>+'[1]DEKK AKMERKEZ'!AA605-'[1]DEKK AKMERKEZ'!AA601-'[1]DEKK AKMERKEZ'!AA602</f>
        <v>0</v>
      </c>
      <c r="AD556" s="22"/>
      <c r="AE556" s="22"/>
      <c r="AF556" s="22">
        <f>+'[1]DEKK AKMERKEZ'!AD605-'[1]DEKK AKMERKEZ'!AD601-'[1]DEKK AKMERKEZ'!AD602</f>
        <v>0</v>
      </c>
      <c r="AG556" s="22"/>
      <c r="AH556" s="22"/>
      <c r="AI556" s="22">
        <f>+'[1]DEKK AKMERKEZ'!AG605-'[1]DEKK AKMERKEZ'!AG601-'[1]DEKK AKMERKEZ'!AG602</f>
        <v>0</v>
      </c>
      <c r="AJ556" s="23"/>
      <c r="AK556" s="23"/>
      <c r="AL556" s="77">
        <f>+'[1]DEKK AKMERKEZ'!AJ605-'[1]DEKK AKMERKEZ'!AJ601-'[1]DEKK AKMERKEZ'!AJ602</f>
        <v>0</v>
      </c>
    </row>
    <row r="557" spans="1:38" x14ac:dyDescent="0.25">
      <c r="A557" s="73" t="s">
        <v>71</v>
      </c>
      <c r="B557" s="6" t="s">
        <v>77</v>
      </c>
      <c r="C557" s="7" t="s">
        <v>26</v>
      </c>
      <c r="D557" s="8" t="s">
        <v>23</v>
      </c>
      <c r="E557" s="24">
        <f>+'[1]DEKK AKMERKEZ'!C626</f>
        <v>0</v>
      </c>
      <c r="F557" s="25"/>
      <c r="G557" s="25"/>
      <c r="H557" s="26">
        <f>+'[1]DEKK AKMERKEZ'!F626</f>
        <v>0</v>
      </c>
      <c r="I557" s="26"/>
      <c r="J557" s="26"/>
      <c r="K557" s="26">
        <f>+'[1]DEKK AKMERKEZ'!I626</f>
        <v>0</v>
      </c>
      <c r="L557" s="26"/>
      <c r="M557" s="26"/>
      <c r="N557" s="26">
        <f>+'[1]DEKK AKMERKEZ'!L626</f>
        <v>0</v>
      </c>
      <c r="O557" s="26"/>
      <c r="P557" s="26"/>
      <c r="Q557" s="26">
        <f>+'[1]DEKK AKMERKEZ'!O626</f>
        <v>0</v>
      </c>
      <c r="R557" s="26"/>
      <c r="S557" s="26"/>
      <c r="T557" s="26">
        <f>+'[1]DEKK AKMERKEZ'!R626</f>
        <v>0</v>
      </c>
      <c r="U557" s="26"/>
      <c r="V557" s="26"/>
      <c r="W557" s="26">
        <f>+'[1]DEKK AKMERKEZ'!U626</f>
        <v>0</v>
      </c>
      <c r="X557" s="26"/>
      <c r="Y557" s="26"/>
      <c r="Z557" s="26">
        <f>+'[1]DEKK AKMERKEZ'!X626</f>
        <v>0</v>
      </c>
      <c r="AA557" s="26"/>
      <c r="AB557" s="26"/>
      <c r="AC557" s="26">
        <f>+'[1]DEKK AKMERKEZ'!AA626</f>
        <v>0</v>
      </c>
      <c r="AD557" s="26"/>
      <c r="AE557" s="26"/>
      <c r="AF557" s="26">
        <f>+'[1]DEKK AKMERKEZ'!AD626</f>
        <v>0</v>
      </c>
      <c r="AG557" s="26"/>
      <c r="AH557" s="26"/>
      <c r="AI557" s="26">
        <f>+'[1]DEKK AKMERKEZ'!AG626</f>
        <v>0</v>
      </c>
      <c r="AJ557" s="27"/>
      <c r="AK557" s="27"/>
      <c r="AL557" s="78">
        <f>+'[1]DEKK AKMERKEZ'!AJ626</f>
        <v>0</v>
      </c>
    </row>
    <row r="558" spans="1:38" x14ac:dyDescent="0.25">
      <c r="A558" s="73" t="s">
        <v>71</v>
      </c>
      <c r="B558" s="6" t="s">
        <v>77</v>
      </c>
      <c r="C558" s="7" t="s">
        <v>27</v>
      </c>
      <c r="D558" s="8" t="s">
        <v>23</v>
      </c>
      <c r="E558" s="28">
        <f>+'[1]DEKK AKMERKEZ'!C627</f>
        <v>99798.62</v>
      </c>
      <c r="F558" s="29"/>
      <c r="G558" s="29"/>
      <c r="H558" s="30">
        <f>+'[1]DEKK AKMERKEZ'!F627</f>
        <v>63657.17</v>
      </c>
      <c r="I558" s="30"/>
      <c r="J558" s="30"/>
      <c r="K558" s="30">
        <f>+'[1]DEKK AKMERKEZ'!I627</f>
        <v>63606.130000000005</v>
      </c>
      <c r="L558" s="30"/>
      <c r="M558" s="30"/>
      <c r="N558" s="30">
        <f>+'[1]DEKK AKMERKEZ'!L627</f>
        <v>81336.210000000006</v>
      </c>
      <c r="O558" s="30"/>
      <c r="P558" s="30"/>
      <c r="Q558" s="30">
        <f>+'[1]DEKK AKMERKEZ'!O627</f>
        <v>61574.499999999993</v>
      </c>
      <c r="R558" s="30"/>
      <c r="S558" s="30"/>
      <c r="T558" s="30">
        <f>+'[1]DEKK AKMERKEZ'!R627</f>
        <v>60458.73</v>
      </c>
      <c r="U558" s="30"/>
      <c r="V558" s="30"/>
      <c r="W558" s="30">
        <f>+'[1]DEKK AKMERKEZ'!U627</f>
        <v>31638.880000000001</v>
      </c>
      <c r="X558" s="30"/>
      <c r="Y558" s="30"/>
      <c r="Z558" s="30">
        <f>+'[1]DEKK AKMERKEZ'!X627</f>
        <v>0</v>
      </c>
      <c r="AA558" s="30"/>
      <c r="AB558" s="30"/>
      <c r="AC558" s="30">
        <f>+'[1]DEKK AKMERKEZ'!AA627</f>
        <v>0</v>
      </c>
      <c r="AD558" s="30"/>
      <c r="AE558" s="30"/>
      <c r="AF558" s="30">
        <f>+'[1]DEKK AKMERKEZ'!AD627</f>
        <v>0</v>
      </c>
      <c r="AG558" s="30"/>
      <c r="AH558" s="30"/>
      <c r="AI558" s="30">
        <f>+'[1]DEKK AKMERKEZ'!AG627</f>
        <v>0</v>
      </c>
      <c r="AJ558" s="31"/>
      <c r="AK558" s="31"/>
      <c r="AL558" s="79">
        <f>+'[1]DEKK AKMERKEZ'!AJ627</f>
        <v>0</v>
      </c>
    </row>
    <row r="559" spans="1:38" x14ac:dyDescent="0.25">
      <c r="A559" s="73" t="s">
        <v>71</v>
      </c>
      <c r="B559" s="6" t="s">
        <v>77</v>
      </c>
      <c r="C559" s="7" t="s">
        <v>28</v>
      </c>
      <c r="D559" s="8" t="s">
        <v>29</v>
      </c>
      <c r="E559" s="124">
        <f>+'[1]DEKK AKMERKEZ'!C610</f>
        <v>0</v>
      </c>
      <c r="F559" s="125"/>
      <c r="G559" s="125"/>
      <c r="H559" s="126">
        <f>+'[1]DEKK AKMERKEZ'!F610</f>
        <v>0</v>
      </c>
      <c r="I559" s="126"/>
      <c r="J559" s="126"/>
      <c r="K559" s="126">
        <f>+'[1]DEKK AKMERKEZ'!I610</f>
        <v>0</v>
      </c>
      <c r="L559" s="126"/>
      <c r="M559" s="126"/>
      <c r="N559" s="126">
        <f>+'[1]DEKK AKMERKEZ'!L610</f>
        <v>0</v>
      </c>
      <c r="O559" s="126"/>
      <c r="P559" s="126"/>
      <c r="Q559" s="126">
        <f>+'[1]DEKK AKMERKEZ'!O610</f>
        <v>0</v>
      </c>
      <c r="R559" s="126"/>
      <c r="S559" s="126"/>
      <c r="T559" s="126">
        <f>+'[1]DEKK AKMERKEZ'!R610</f>
        <v>0</v>
      </c>
      <c r="U559" s="126"/>
      <c r="V559" s="126"/>
      <c r="W559" s="126">
        <f>+'[1]DEKK AKMERKEZ'!U610</f>
        <v>0</v>
      </c>
      <c r="X559" s="126"/>
      <c r="Y559" s="126"/>
      <c r="Z559" s="126">
        <f>+'[1]DEKK AKMERKEZ'!X610</f>
        <v>0</v>
      </c>
      <c r="AA559" s="126"/>
      <c r="AB559" s="126"/>
      <c r="AC559" s="126">
        <f>+'[1]DEKK AKMERKEZ'!AA610</f>
        <v>0</v>
      </c>
      <c r="AD559" s="126"/>
      <c r="AE559" s="126"/>
      <c r="AF559" s="126">
        <f>+'[1]DEKK AKMERKEZ'!AD610</f>
        <v>0</v>
      </c>
      <c r="AG559" s="126"/>
      <c r="AH559" s="126"/>
      <c r="AI559" s="126">
        <f>+'[1]DEKK AKMERKEZ'!AG610</f>
        <v>0</v>
      </c>
      <c r="AJ559" s="127"/>
      <c r="AK559" s="127"/>
      <c r="AL559" s="128">
        <f>+'[1]DEKK AKMERKEZ'!AJ610</f>
        <v>0</v>
      </c>
    </row>
    <row r="560" spans="1:38" x14ac:dyDescent="0.25">
      <c r="A560" s="85" t="s">
        <v>71</v>
      </c>
      <c r="B560" s="32" t="s">
        <v>77</v>
      </c>
      <c r="C560" s="33" t="s">
        <v>30</v>
      </c>
      <c r="D560" s="34" t="s">
        <v>29</v>
      </c>
      <c r="E560" s="129">
        <f>+'[1]DEKK AKMERKEZ'!C611</f>
        <v>0</v>
      </c>
      <c r="F560" s="130"/>
      <c r="G560" s="130"/>
      <c r="H560" s="131">
        <f>+'[1]DEKK AKMERKEZ'!F611</f>
        <v>0</v>
      </c>
      <c r="I560" s="131"/>
      <c r="J560" s="131"/>
      <c r="K560" s="131">
        <f>+'[1]DEKK AKMERKEZ'!I611</f>
        <v>0</v>
      </c>
      <c r="L560" s="131"/>
      <c r="M560" s="131"/>
      <c r="N560" s="131">
        <f>+'[1]DEKK AKMERKEZ'!L611</f>
        <v>0</v>
      </c>
      <c r="O560" s="131"/>
      <c r="P560" s="131"/>
      <c r="Q560" s="131">
        <f>+'[1]DEKK AKMERKEZ'!O611</f>
        <v>0</v>
      </c>
      <c r="R560" s="131"/>
      <c r="S560" s="131"/>
      <c r="T560" s="131">
        <f>+'[1]DEKK AKMERKEZ'!R611</f>
        <v>0</v>
      </c>
      <c r="U560" s="131"/>
      <c r="V560" s="131"/>
      <c r="W560" s="131">
        <f>+'[1]DEKK AKMERKEZ'!U611</f>
        <v>0</v>
      </c>
      <c r="X560" s="131"/>
      <c r="Y560" s="131"/>
      <c r="Z560" s="131">
        <f>+'[1]DEKK AKMERKEZ'!X611</f>
        <v>0</v>
      </c>
      <c r="AA560" s="131"/>
      <c r="AB560" s="131"/>
      <c r="AC560" s="131">
        <f>+'[1]DEKK AKMERKEZ'!AA611</f>
        <v>0</v>
      </c>
      <c r="AD560" s="131"/>
      <c r="AE560" s="131"/>
      <c r="AF560" s="131">
        <f>+'[1]DEKK AKMERKEZ'!AD611</f>
        <v>0</v>
      </c>
      <c r="AG560" s="131"/>
      <c r="AH560" s="131"/>
      <c r="AI560" s="131">
        <f>+'[1]DEKK AKMERKEZ'!AG611</f>
        <v>0</v>
      </c>
      <c r="AJ560" s="132"/>
      <c r="AK560" s="132"/>
      <c r="AL560" s="133">
        <f>+'[1]DEKK AKMERKEZ'!AJ611</f>
        <v>0</v>
      </c>
    </row>
    <row r="561" spans="1:38" x14ac:dyDescent="0.25">
      <c r="A561" s="85" t="s">
        <v>71</v>
      </c>
      <c r="B561" s="32" t="s">
        <v>77</v>
      </c>
      <c r="C561" s="33" t="s">
        <v>31</v>
      </c>
      <c r="D561" s="34" t="s">
        <v>29</v>
      </c>
      <c r="E561" s="129">
        <f>+'[1]DEKK AKMERKEZ'!C612</f>
        <v>0</v>
      </c>
      <c r="F561" s="130"/>
      <c r="G561" s="130"/>
      <c r="H561" s="131">
        <f>+'[1]DEKK AKMERKEZ'!F612</f>
        <v>0</v>
      </c>
      <c r="I561" s="131"/>
      <c r="J561" s="131"/>
      <c r="K561" s="131">
        <f>+'[1]DEKK AKMERKEZ'!I612</f>
        <v>0</v>
      </c>
      <c r="L561" s="131"/>
      <c r="M561" s="131"/>
      <c r="N561" s="131">
        <f>+'[1]DEKK AKMERKEZ'!L612</f>
        <v>0</v>
      </c>
      <c r="O561" s="131"/>
      <c r="P561" s="131"/>
      <c r="Q561" s="131">
        <f>+'[1]DEKK AKMERKEZ'!O612</f>
        <v>0</v>
      </c>
      <c r="R561" s="131"/>
      <c r="S561" s="131"/>
      <c r="T561" s="131">
        <f>+'[1]DEKK AKMERKEZ'!R612</f>
        <v>0</v>
      </c>
      <c r="U561" s="131"/>
      <c r="V561" s="131"/>
      <c r="W561" s="131">
        <f>+'[1]DEKK AKMERKEZ'!U612</f>
        <v>0</v>
      </c>
      <c r="X561" s="131"/>
      <c r="Y561" s="131"/>
      <c r="Z561" s="131">
        <f>+'[1]DEKK AKMERKEZ'!X612</f>
        <v>0</v>
      </c>
      <c r="AA561" s="131"/>
      <c r="AB561" s="131"/>
      <c r="AC561" s="131">
        <f>+'[1]DEKK AKMERKEZ'!AA612</f>
        <v>0</v>
      </c>
      <c r="AD561" s="131"/>
      <c r="AE561" s="131"/>
      <c r="AF561" s="131">
        <f>+'[1]DEKK AKMERKEZ'!AD612</f>
        <v>0</v>
      </c>
      <c r="AG561" s="131"/>
      <c r="AH561" s="131"/>
      <c r="AI561" s="131">
        <f>+'[1]DEKK AKMERKEZ'!AG612</f>
        <v>0</v>
      </c>
      <c r="AJ561" s="132"/>
      <c r="AK561" s="132"/>
      <c r="AL561" s="133">
        <f>+'[1]DEKK AKMERKEZ'!AJ612</f>
        <v>0</v>
      </c>
    </row>
    <row r="562" spans="1:38" x14ac:dyDescent="0.25">
      <c r="A562" s="85" t="s">
        <v>71</v>
      </c>
      <c r="B562" s="32" t="s">
        <v>77</v>
      </c>
      <c r="C562" s="33" t="s">
        <v>32</v>
      </c>
      <c r="D562" s="34" t="s">
        <v>29</v>
      </c>
      <c r="E562" s="129">
        <f>+'[1]DEKK AKMERKEZ'!C613</f>
        <v>0</v>
      </c>
      <c r="F562" s="130"/>
      <c r="G562" s="130"/>
      <c r="H562" s="131">
        <f>+'[1]DEKK AKMERKEZ'!F613</f>
        <v>0</v>
      </c>
      <c r="I562" s="131"/>
      <c r="J562" s="131"/>
      <c r="K562" s="131">
        <f>+'[1]DEKK AKMERKEZ'!I613</f>
        <v>0</v>
      </c>
      <c r="L562" s="131"/>
      <c r="M562" s="131"/>
      <c r="N562" s="131">
        <f>+'[1]DEKK AKMERKEZ'!L613</f>
        <v>0</v>
      </c>
      <c r="O562" s="131"/>
      <c r="P562" s="131"/>
      <c r="Q562" s="131">
        <f>+'[1]DEKK AKMERKEZ'!O613</f>
        <v>0</v>
      </c>
      <c r="R562" s="131"/>
      <c r="S562" s="131"/>
      <c r="T562" s="131">
        <f>+'[1]DEKK AKMERKEZ'!R613</f>
        <v>0</v>
      </c>
      <c r="U562" s="131"/>
      <c r="V562" s="131"/>
      <c r="W562" s="131">
        <f>+'[1]DEKK AKMERKEZ'!U613</f>
        <v>0</v>
      </c>
      <c r="X562" s="131"/>
      <c r="Y562" s="131"/>
      <c r="Z562" s="131">
        <f>+'[1]DEKK AKMERKEZ'!X613</f>
        <v>0</v>
      </c>
      <c r="AA562" s="131"/>
      <c r="AB562" s="131"/>
      <c r="AC562" s="131">
        <f>+'[1]DEKK AKMERKEZ'!AA613</f>
        <v>0</v>
      </c>
      <c r="AD562" s="131"/>
      <c r="AE562" s="131"/>
      <c r="AF562" s="131">
        <f>+'[1]DEKK AKMERKEZ'!AD613</f>
        <v>0</v>
      </c>
      <c r="AG562" s="131"/>
      <c r="AH562" s="131"/>
      <c r="AI562" s="131">
        <f>+'[1]DEKK AKMERKEZ'!AG613</f>
        <v>0</v>
      </c>
      <c r="AJ562" s="132"/>
      <c r="AK562" s="132"/>
      <c r="AL562" s="133">
        <f>+'[1]DEKK AKMERKEZ'!AJ613</f>
        <v>0</v>
      </c>
    </row>
    <row r="563" spans="1:38" x14ac:dyDescent="0.25">
      <c r="A563" s="85" t="s">
        <v>71</v>
      </c>
      <c r="B563" s="32" t="s">
        <v>77</v>
      </c>
      <c r="C563" s="33" t="s">
        <v>33</v>
      </c>
      <c r="D563" s="34" t="s">
        <v>29</v>
      </c>
      <c r="E563" s="129">
        <f>SUM(E559:E562)</f>
        <v>0</v>
      </c>
      <c r="F563" s="130"/>
      <c r="G563" s="130"/>
      <c r="H563" s="129">
        <f>SUM(H559:H562)</f>
        <v>0</v>
      </c>
      <c r="I563" s="131"/>
      <c r="J563" s="131"/>
      <c r="K563" s="129">
        <f>SUM(K559:K562)</f>
        <v>0</v>
      </c>
      <c r="L563" s="131"/>
      <c r="M563" s="131"/>
      <c r="N563" s="129">
        <f>SUM(N559:N562)</f>
        <v>0</v>
      </c>
      <c r="O563" s="131"/>
      <c r="P563" s="131"/>
      <c r="Q563" s="129">
        <f>SUM(Q559:Q562)</f>
        <v>0</v>
      </c>
      <c r="R563" s="131"/>
      <c r="S563" s="131"/>
      <c r="T563" s="129">
        <f>SUM(T559:T562)</f>
        <v>0</v>
      </c>
      <c r="U563" s="131"/>
      <c r="V563" s="131"/>
      <c r="W563" s="129">
        <f>SUM(W559:W562)</f>
        <v>0</v>
      </c>
      <c r="X563" s="131"/>
      <c r="Y563" s="131"/>
      <c r="Z563" s="129">
        <f>SUM(Z559:Z562)</f>
        <v>0</v>
      </c>
      <c r="AA563" s="131"/>
      <c r="AB563" s="131"/>
      <c r="AC563" s="129">
        <f>SUM(AC559:AC562)</f>
        <v>0</v>
      </c>
      <c r="AD563" s="131"/>
      <c r="AE563" s="131"/>
      <c r="AF563" s="129">
        <f>SUM(AF559:AF562)</f>
        <v>0</v>
      </c>
      <c r="AG563" s="131"/>
      <c r="AH563" s="131"/>
      <c r="AI563" s="129">
        <f>SUM(AI559:AI562)</f>
        <v>0</v>
      </c>
      <c r="AJ563" s="132"/>
      <c r="AK563" s="132"/>
      <c r="AL563" s="134">
        <f>SUM(AL559:AL562)</f>
        <v>0</v>
      </c>
    </row>
    <row r="564" spans="1:38" x14ac:dyDescent="0.25">
      <c r="A564" s="85" t="s">
        <v>71</v>
      </c>
      <c r="B564" s="32" t="s">
        <v>77</v>
      </c>
      <c r="C564" s="33" t="s">
        <v>34</v>
      </c>
      <c r="D564" s="34" t="s">
        <v>23</v>
      </c>
      <c r="E564" s="35">
        <f>+'[1]DEKK AKMERKEZ'!C617+'[1]DEKK AKMERKEZ'!C618+'[1]DEKK AKMERKEZ'!C619+'[1]DEKK AKMERKEZ'!C620</f>
        <v>0</v>
      </c>
      <c r="F564" s="36"/>
      <c r="G564" s="36"/>
      <c r="H564" s="35">
        <f>+'[1]DEKK AKMERKEZ'!F617+'[1]DEKK AKMERKEZ'!F618+'[1]DEKK AKMERKEZ'!F619+'[1]DEKK AKMERKEZ'!F620</f>
        <v>0</v>
      </c>
      <c r="I564" s="18"/>
      <c r="J564" s="18"/>
      <c r="K564" s="35">
        <f>+'[1]DEKK AKMERKEZ'!I617+'[1]DEKK AKMERKEZ'!I618+'[1]DEKK AKMERKEZ'!I619+'[1]DEKK AKMERKEZ'!I620</f>
        <v>0</v>
      </c>
      <c r="L564" s="18"/>
      <c r="M564" s="18"/>
      <c r="N564" s="35">
        <f>+'[1]DEKK AKMERKEZ'!L617+'[1]DEKK AKMERKEZ'!L618+'[1]DEKK AKMERKEZ'!L619+'[1]DEKK AKMERKEZ'!L620</f>
        <v>0</v>
      </c>
      <c r="O564" s="18"/>
      <c r="P564" s="18"/>
      <c r="Q564" s="35">
        <f>+'[1]DEKK AKMERKEZ'!O617+'[1]DEKK AKMERKEZ'!O618+'[1]DEKK AKMERKEZ'!O619+'[1]DEKK AKMERKEZ'!O620</f>
        <v>0</v>
      </c>
      <c r="R564" s="18"/>
      <c r="S564" s="18"/>
      <c r="T564" s="35">
        <f>+'[1]DEKK AKMERKEZ'!R617+'[1]DEKK AKMERKEZ'!R618+'[1]DEKK AKMERKEZ'!R619+'[1]DEKK AKMERKEZ'!R620</f>
        <v>0</v>
      </c>
      <c r="U564" s="18"/>
      <c r="V564" s="18"/>
      <c r="W564" s="35">
        <f>+'[1]DEKK AKMERKEZ'!U617+'[1]DEKK AKMERKEZ'!U618+'[1]DEKK AKMERKEZ'!U619+'[1]DEKK AKMERKEZ'!U620</f>
        <v>0</v>
      </c>
      <c r="X564" s="18"/>
      <c r="Y564" s="18"/>
      <c r="Z564" s="35">
        <f>+'[1]DEKK AKMERKEZ'!X617+'[1]DEKK AKMERKEZ'!X618+'[1]DEKK AKMERKEZ'!X619+'[1]DEKK AKMERKEZ'!X620</f>
        <v>0</v>
      </c>
      <c r="AA564" s="18"/>
      <c r="AB564" s="18"/>
      <c r="AC564" s="35">
        <f>+'[1]DEKK AKMERKEZ'!AA617+'[1]DEKK AKMERKEZ'!AA618+'[1]DEKK AKMERKEZ'!AA619+'[1]DEKK AKMERKEZ'!AA620</f>
        <v>0</v>
      </c>
      <c r="AD564" s="18"/>
      <c r="AE564" s="18"/>
      <c r="AF564" s="35">
        <f>+'[1]DEKK AKMERKEZ'!AD617+'[1]DEKK AKMERKEZ'!AD618+'[1]DEKK AKMERKEZ'!AD619+'[1]DEKK AKMERKEZ'!AD620</f>
        <v>0</v>
      </c>
      <c r="AG564" s="18"/>
      <c r="AH564" s="18"/>
      <c r="AI564" s="35">
        <f>+'[1]DEKK AKMERKEZ'!AG617+'[1]DEKK AKMERKEZ'!AG618+'[1]DEKK AKMERKEZ'!AG619+'[1]DEKK AKMERKEZ'!AG620</f>
        <v>0</v>
      </c>
      <c r="AJ564" s="19"/>
      <c r="AK564" s="19"/>
      <c r="AL564" s="92">
        <f>+'[1]DEKK AKMERKEZ'!AJ617+'[1]DEKK AKMERKEZ'!AJ618+'[1]DEKK AKMERKEZ'!AJ619+'[1]DEKK AKMERKEZ'!AJ620</f>
        <v>0</v>
      </c>
    </row>
    <row r="565" spans="1:38" x14ac:dyDescent="0.25">
      <c r="A565" s="85" t="s">
        <v>71</v>
      </c>
      <c r="B565" s="32" t="s">
        <v>77</v>
      </c>
      <c r="C565" s="33" t="s">
        <v>35</v>
      </c>
      <c r="D565" s="34" t="s">
        <v>23</v>
      </c>
      <c r="E565" s="35">
        <f>+'[1]DEKK AKMERKEZ'!C621</f>
        <v>0</v>
      </c>
      <c r="F565" s="36"/>
      <c r="G565" s="36"/>
      <c r="H565" s="35">
        <f>+'[1]DEKK AKMERKEZ'!F621</f>
        <v>0</v>
      </c>
      <c r="I565" s="18"/>
      <c r="J565" s="18"/>
      <c r="K565" s="35">
        <f>+'[1]DEKK AKMERKEZ'!I621</f>
        <v>0</v>
      </c>
      <c r="L565" s="18"/>
      <c r="M565" s="18"/>
      <c r="N565" s="35">
        <f>+'[1]DEKK AKMERKEZ'!L621</f>
        <v>0</v>
      </c>
      <c r="O565" s="18"/>
      <c r="P565" s="18"/>
      <c r="Q565" s="35">
        <f>+'[1]DEKK AKMERKEZ'!O621</f>
        <v>0</v>
      </c>
      <c r="R565" s="18"/>
      <c r="S565" s="18"/>
      <c r="T565" s="35">
        <f>+'[1]DEKK AKMERKEZ'!R621</f>
        <v>0</v>
      </c>
      <c r="U565" s="18"/>
      <c r="V565" s="18"/>
      <c r="W565" s="35">
        <f>+'[1]DEKK AKMERKEZ'!U621</f>
        <v>0</v>
      </c>
      <c r="X565" s="18"/>
      <c r="Y565" s="18"/>
      <c r="Z565" s="35">
        <f>+'[1]DEKK AKMERKEZ'!X621</f>
        <v>0</v>
      </c>
      <c r="AA565" s="18"/>
      <c r="AB565" s="18"/>
      <c r="AC565" s="35">
        <f>+'[1]DEKK AKMERKEZ'!AA621</f>
        <v>0</v>
      </c>
      <c r="AD565" s="18"/>
      <c r="AE565" s="18"/>
      <c r="AF565" s="35">
        <f>+'[1]DEKK AKMERKEZ'!AD621</f>
        <v>0</v>
      </c>
      <c r="AG565" s="18"/>
      <c r="AH565" s="18"/>
      <c r="AI565" s="35">
        <f>+'[1]DEKK AKMERKEZ'!AG621</f>
        <v>0</v>
      </c>
      <c r="AJ565" s="19"/>
      <c r="AK565" s="19"/>
      <c r="AL565" s="92">
        <f>+'[1]DEKK AKMERKEZ'!AJ621</f>
        <v>0</v>
      </c>
    </row>
    <row r="566" spans="1:38" x14ac:dyDescent="0.25">
      <c r="A566" s="85" t="s">
        <v>71</v>
      </c>
      <c r="B566" s="32" t="s">
        <v>77</v>
      </c>
      <c r="C566" s="33" t="s">
        <v>36</v>
      </c>
      <c r="D566" s="34" t="s">
        <v>23</v>
      </c>
      <c r="E566" s="35">
        <f>+'[1]DEKK AKMERKEZ'!C622</f>
        <v>0</v>
      </c>
      <c r="F566" s="36"/>
      <c r="G566" s="36"/>
      <c r="H566" s="35">
        <f>+'[1]DEKK AKMERKEZ'!F622</f>
        <v>0</v>
      </c>
      <c r="I566" s="18"/>
      <c r="J566" s="18"/>
      <c r="K566" s="35">
        <f>+'[1]DEKK AKMERKEZ'!I622</f>
        <v>0</v>
      </c>
      <c r="L566" s="18"/>
      <c r="M566" s="18"/>
      <c r="N566" s="35">
        <f>+'[1]DEKK AKMERKEZ'!L622</f>
        <v>0</v>
      </c>
      <c r="O566" s="18"/>
      <c r="P566" s="18"/>
      <c r="Q566" s="35">
        <f>+'[1]DEKK AKMERKEZ'!O622</f>
        <v>0</v>
      </c>
      <c r="R566" s="18"/>
      <c r="S566" s="18"/>
      <c r="T566" s="35">
        <f>+'[1]DEKK AKMERKEZ'!R622</f>
        <v>0</v>
      </c>
      <c r="U566" s="18"/>
      <c r="V566" s="18"/>
      <c r="W566" s="35">
        <f>+'[1]DEKK AKMERKEZ'!U622</f>
        <v>0</v>
      </c>
      <c r="X566" s="18"/>
      <c r="Y566" s="18"/>
      <c r="Z566" s="35">
        <f>+'[1]DEKK AKMERKEZ'!X622</f>
        <v>0</v>
      </c>
      <c r="AA566" s="18"/>
      <c r="AB566" s="18"/>
      <c r="AC566" s="35">
        <f>+'[1]DEKK AKMERKEZ'!AA622</f>
        <v>0</v>
      </c>
      <c r="AD566" s="18"/>
      <c r="AE566" s="18"/>
      <c r="AF566" s="35">
        <f>+'[1]DEKK AKMERKEZ'!AD622</f>
        <v>0</v>
      </c>
      <c r="AG566" s="18"/>
      <c r="AH566" s="18"/>
      <c r="AI566" s="35">
        <f>+'[1]DEKK AKMERKEZ'!AG622</f>
        <v>0</v>
      </c>
      <c r="AJ566" s="19"/>
      <c r="AK566" s="19"/>
      <c r="AL566" s="92">
        <f>+'[1]DEKK AKMERKEZ'!AJ622</f>
        <v>0</v>
      </c>
    </row>
    <row r="567" spans="1:38" x14ac:dyDescent="0.25">
      <c r="A567" s="85" t="s">
        <v>71</v>
      </c>
      <c r="B567" s="32" t="s">
        <v>77</v>
      </c>
      <c r="C567" s="33" t="s">
        <v>37</v>
      </c>
      <c r="D567" s="34" t="s">
        <v>23</v>
      </c>
      <c r="E567" s="37">
        <f>SUM(E564:E566)</f>
        <v>0</v>
      </c>
      <c r="F567" s="38"/>
      <c r="G567" s="38"/>
      <c r="H567" s="37">
        <f>SUM(H564:H566)</f>
        <v>0</v>
      </c>
      <c r="I567" s="39"/>
      <c r="J567" s="39"/>
      <c r="K567" s="37">
        <f>SUM(K564:K566)</f>
        <v>0</v>
      </c>
      <c r="L567" s="39"/>
      <c r="M567" s="39"/>
      <c r="N567" s="37">
        <f>SUM(N564:N566)</f>
        <v>0</v>
      </c>
      <c r="O567" s="39"/>
      <c r="P567" s="39"/>
      <c r="Q567" s="37">
        <f>SUM(Q564:Q566)</f>
        <v>0</v>
      </c>
      <c r="R567" s="39"/>
      <c r="S567" s="39"/>
      <c r="T567" s="37">
        <f>SUM(T564:T566)</f>
        <v>0</v>
      </c>
      <c r="U567" s="39"/>
      <c r="V567" s="39"/>
      <c r="W567" s="37">
        <f>SUM(W564:W566)</f>
        <v>0</v>
      </c>
      <c r="X567" s="39"/>
      <c r="Y567" s="39"/>
      <c r="Z567" s="37">
        <f>SUM(Z564:Z566)</f>
        <v>0</v>
      </c>
      <c r="AA567" s="39"/>
      <c r="AB567" s="39"/>
      <c r="AC567" s="37">
        <f>SUM(AC564:AC566)</f>
        <v>0</v>
      </c>
      <c r="AD567" s="39"/>
      <c r="AE567" s="39"/>
      <c r="AF567" s="37">
        <f>SUM(AF564:AF566)</f>
        <v>0</v>
      </c>
      <c r="AG567" s="39"/>
      <c r="AH567" s="39"/>
      <c r="AI567" s="37">
        <f>SUM(AI564:AI566)</f>
        <v>0</v>
      </c>
      <c r="AJ567" s="40"/>
      <c r="AK567" s="40"/>
      <c r="AL567" s="93">
        <f>SUM(AL564:AL566)</f>
        <v>0</v>
      </c>
    </row>
    <row r="568" spans="1:38" x14ac:dyDescent="0.25">
      <c r="A568" s="73" t="s">
        <v>71</v>
      </c>
      <c r="B568" s="6" t="s">
        <v>77</v>
      </c>
      <c r="C568" s="7" t="s">
        <v>38</v>
      </c>
      <c r="D568" s="8" t="s">
        <v>23</v>
      </c>
      <c r="E568" s="28">
        <f>IFERROR(E567/E563,0)</f>
        <v>0</v>
      </c>
      <c r="F568" s="29"/>
      <c r="G568" s="29"/>
      <c r="H568" s="28">
        <f>IFERROR(H567/H563,0)</f>
        <v>0</v>
      </c>
      <c r="I568" s="30"/>
      <c r="J568" s="30"/>
      <c r="K568" s="28">
        <f>IFERROR(K567/K563,0)</f>
        <v>0</v>
      </c>
      <c r="L568" s="30"/>
      <c r="M568" s="30"/>
      <c r="N568" s="28">
        <f>IFERROR(N567/N563,0)</f>
        <v>0</v>
      </c>
      <c r="O568" s="30"/>
      <c r="P568" s="30"/>
      <c r="Q568" s="28">
        <f>IFERROR(Q567/Q563,0)</f>
        <v>0</v>
      </c>
      <c r="R568" s="30"/>
      <c r="S568" s="30"/>
      <c r="T568" s="28">
        <f>IFERROR(T567/T563,0)</f>
        <v>0</v>
      </c>
      <c r="U568" s="30"/>
      <c r="V568" s="30"/>
      <c r="W568" s="28">
        <f>IFERROR(W567/W563,0)</f>
        <v>0</v>
      </c>
      <c r="X568" s="30"/>
      <c r="Y568" s="30"/>
      <c r="Z568" s="28">
        <f>IFERROR(Z567/Z563,0)</f>
        <v>0</v>
      </c>
      <c r="AA568" s="30"/>
      <c r="AB568" s="30"/>
      <c r="AC568" s="28">
        <f>IFERROR(AC567/AC563,0)</f>
        <v>0</v>
      </c>
      <c r="AD568" s="30"/>
      <c r="AE568" s="30"/>
      <c r="AF568" s="28">
        <f>IFERROR(AF567/AF563,0)</f>
        <v>0</v>
      </c>
      <c r="AG568" s="30"/>
      <c r="AH568" s="30"/>
      <c r="AI568" s="28">
        <f>IFERROR(AI567/AI563,0)</f>
        <v>0</v>
      </c>
      <c r="AJ568" s="31"/>
      <c r="AK568" s="31"/>
      <c r="AL568" s="94">
        <f>IFERROR(AL567/AL563,0)</f>
        <v>0</v>
      </c>
    </row>
    <row r="569" spans="1:38" x14ac:dyDescent="0.25">
      <c r="A569" s="73" t="s">
        <v>71</v>
      </c>
      <c r="B569" s="6" t="s">
        <v>77</v>
      </c>
      <c r="C569" s="7" t="s">
        <v>39</v>
      </c>
      <c r="D569" s="8" t="s">
        <v>23</v>
      </c>
      <c r="E569" s="41">
        <f>+'[1]DEKK AKMERKEZ'!C646</f>
        <v>0</v>
      </c>
      <c r="F569" s="42"/>
      <c r="G569" s="42"/>
      <c r="H569" s="43">
        <f>+'[1]DEKK AKMERKEZ'!F646</f>
        <v>0</v>
      </c>
      <c r="I569" s="43"/>
      <c r="J569" s="43"/>
      <c r="K569" s="43">
        <f>+'[1]DEKK AKMERKEZ'!I646</f>
        <v>0</v>
      </c>
      <c r="L569" s="43"/>
      <c r="M569" s="43"/>
      <c r="N569" s="43">
        <f>+'[1]DEKK AKMERKEZ'!L646</f>
        <v>0</v>
      </c>
      <c r="O569" s="43"/>
      <c r="P569" s="43"/>
      <c r="Q569" s="43">
        <f>+'[1]DEKK AKMERKEZ'!O646</f>
        <v>0</v>
      </c>
      <c r="R569" s="43"/>
      <c r="S569" s="43"/>
      <c r="T569" s="43">
        <f>+'[1]DEKK AKMERKEZ'!R646</f>
        <v>0</v>
      </c>
      <c r="U569" s="43"/>
      <c r="V569" s="43"/>
      <c r="W569" s="43">
        <f>+'[1]DEKK AKMERKEZ'!U646</f>
        <v>0</v>
      </c>
      <c r="X569" s="43"/>
      <c r="Y569" s="43"/>
      <c r="Z569" s="43">
        <f>+'[1]DEKK AKMERKEZ'!X646</f>
        <v>0</v>
      </c>
      <c r="AA569" s="43"/>
      <c r="AB569" s="43"/>
      <c r="AC569" s="43">
        <f>+'[1]DEKK AKMERKEZ'!AA646</f>
        <v>0</v>
      </c>
      <c r="AD569" s="43"/>
      <c r="AE569" s="43"/>
      <c r="AF569" s="43">
        <f>+'[1]DEKK AKMERKEZ'!AD646</f>
        <v>0</v>
      </c>
      <c r="AG569" s="43"/>
      <c r="AH569" s="43"/>
      <c r="AI569" s="43">
        <f>+'[1]DEKK AKMERKEZ'!AG646</f>
        <v>0</v>
      </c>
      <c r="AJ569" s="44"/>
      <c r="AK569" s="44"/>
      <c r="AL569" s="95">
        <f>+'[1]DEKK AKMERKEZ'!AJ646</f>
        <v>0</v>
      </c>
    </row>
    <row r="570" spans="1:38" x14ac:dyDescent="0.25">
      <c r="A570" s="73" t="s">
        <v>71</v>
      </c>
      <c r="B570" s="6" t="s">
        <v>77</v>
      </c>
      <c r="C570" s="7" t="s">
        <v>40</v>
      </c>
      <c r="D570" s="34" t="s">
        <v>23</v>
      </c>
      <c r="E570" s="45">
        <f>+'[1]DEKK AKMERKEZ'!C647</f>
        <v>0</v>
      </c>
      <c r="F570" s="46"/>
      <c r="G570" s="46"/>
      <c r="H570" s="47">
        <f>+'[1]DEKK AKMERKEZ'!F647</f>
        <v>0</v>
      </c>
      <c r="I570" s="47"/>
      <c r="J570" s="47"/>
      <c r="K570" s="47">
        <f>+'[1]DEKK AKMERKEZ'!I647</f>
        <v>0</v>
      </c>
      <c r="L570" s="47"/>
      <c r="M570" s="47"/>
      <c r="N570" s="47">
        <f>+'[1]DEKK AKMERKEZ'!L647</f>
        <v>0</v>
      </c>
      <c r="O570" s="47"/>
      <c r="P570" s="47"/>
      <c r="Q570" s="47">
        <f>+'[1]DEKK AKMERKEZ'!O647</f>
        <v>0</v>
      </c>
      <c r="R570" s="47"/>
      <c r="S570" s="47"/>
      <c r="T570" s="47">
        <f>+'[1]DEKK AKMERKEZ'!R647</f>
        <v>0</v>
      </c>
      <c r="U570" s="47"/>
      <c r="V570" s="47"/>
      <c r="W570" s="47">
        <f>+'[1]DEKK AKMERKEZ'!U647</f>
        <v>0</v>
      </c>
      <c r="X570" s="47"/>
      <c r="Y570" s="47"/>
      <c r="Z570" s="47">
        <f>+'[1]DEKK AKMERKEZ'!X647</f>
        <v>0</v>
      </c>
      <c r="AA570" s="47"/>
      <c r="AB570" s="47"/>
      <c r="AC570" s="47">
        <f>+'[1]DEKK AKMERKEZ'!AA647</f>
        <v>0</v>
      </c>
      <c r="AD570" s="47"/>
      <c r="AE570" s="47"/>
      <c r="AF570" s="47">
        <f>+'[1]DEKK AKMERKEZ'!AD647</f>
        <v>0</v>
      </c>
      <c r="AG570" s="47"/>
      <c r="AH570" s="47"/>
      <c r="AI570" s="47">
        <f>+'[1]DEKK AKMERKEZ'!AG647</f>
        <v>0</v>
      </c>
      <c r="AJ570" s="48"/>
      <c r="AK570" s="48"/>
      <c r="AL570" s="96">
        <f>+'[1]DEKK AKMERKEZ'!AJ647</f>
        <v>0</v>
      </c>
    </row>
    <row r="571" spans="1:38" x14ac:dyDescent="0.25">
      <c r="A571" s="73" t="s">
        <v>71</v>
      </c>
      <c r="B571" s="6" t="s">
        <v>77</v>
      </c>
      <c r="C571" s="7" t="s">
        <v>41</v>
      </c>
      <c r="D571" s="34" t="s">
        <v>23</v>
      </c>
      <c r="E571" s="45">
        <f>+'[1]DEKK AKMERKEZ'!C648</f>
        <v>0</v>
      </c>
      <c r="F571" s="46"/>
      <c r="G571" s="46"/>
      <c r="H571" s="47">
        <f>+'[1]DEKK AKMERKEZ'!F648</f>
        <v>0</v>
      </c>
      <c r="I571" s="47"/>
      <c r="J571" s="47"/>
      <c r="K571" s="47">
        <f>+'[1]DEKK AKMERKEZ'!I648</f>
        <v>0</v>
      </c>
      <c r="L571" s="47"/>
      <c r="M571" s="47"/>
      <c r="N571" s="47">
        <f>+'[1]DEKK AKMERKEZ'!L648</f>
        <v>0</v>
      </c>
      <c r="O571" s="47"/>
      <c r="P571" s="47"/>
      <c r="Q571" s="47">
        <f>+'[1]DEKK AKMERKEZ'!O648</f>
        <v>0</v>
      </c>
      <c r="R571" s="47"/>
      <c r="S571" s="47"/>
      <c r="T571" s="47">
        <f>+'[1]DEKK AKMERKEZ'!R648</f>
        <v>0</v>
      </c>
      <c r="U571" s="47"/>
      <c r="V571" s="47"/>
      <c r="W571" s="47">
        <f>+'[1]DEKK AKMERKEZ'!U648</f>
        <v>0</v>
      </c>
      <c r="X571" s="47"/>
      <c r="Y571" s="47"/>
      <c r="Z571" s="47">
        <f>+'[1]DEKK AKMERKEZ'!X648</f>
        <v>0</v>
      </c>
      <c r="AA571" s="47"/>
      <c r="AB571" s="47"/>
      <c r="AC571" s="47">
        <f>+'[1]DEKK AKMERKEZ'!AA648</f>
        <v>0</v>
      </c>
      <c r="AD571" s="47"/>
      <c r="AE571" s="47"/>
      <c r="AF571" s="47">
        <f>+'[1]DEKK AKMERKEZ'!AD648</f>
        <v>0</v>
      </c>
      <c r="AG571" s="47"/>
      <c r="AH571" s="47"/>
      <c r="AI571" s="47">
        <f>+'[1]DEKK AKMERKEZ'!AG648</f>
        <v>0</v>
      </c>
      <c r="AJ571" s="48"/>
      <c r="AK571" s="48"/>
      <c r="AL571" s="96">
        <f>+'[1]DEKK AKMERKEZ'!AJ648</f>
        <v>0</v>
      </c>
    </row>
    <row r="572" spans="1:38" x14ac:dyDescent="0.25">
      <c r="A572" s="73" t="s">
        <v>71</v>
      </c>
      <c r="B572" s="6" t="s">
        <v>77</v>
      </c>
      <c r="C572" s="7" t="s">
        <v>42</v>
      </c>
      <c r="D572" s="34" t="s">
        <v>43</v>
      </c>
      <c r="E572" s="97">
        <v>0</v>
      </c>
      <c r="F572" s="98"/>
      <c r="G572" s="98"/>
      <c r="H572" s="99">
        <v>0</v>
      </c>
      <c r="I572" s="99"/>
      <c r="J572" s="99"/>
      <c r="K572" s="99">
        <v>0</v>
      </c>
      <c r="L572" s="99"/>
      <c r="M572" s="99"/>
      <c r="N572" s="99">
        <v>0</v>
      </c>
      <c r="O572" s="99"/>
      <c r="P572" s="99"/>
      <c r="Q572" s="99">
        <v>0</v>
      </c>
      <c r="R572" s="99"/>
      <c r="S572" s="99"/>
      <c r="T572" s="99">
        <v>0</v>
      </c>
      <c r="U572" s="99"/>
      <c r="V572" s="99"/>
      <c r="W572" s="99">
        <v>0</v>
      </c>
      <c r="X572" s="99"/>
      <c r="Y572" s="99"/>
      <c r="Z572" s="99">
        <v>0</v>
      </c>
      <c r="AA572" s="99"/>
      <c r="AB572" s="99"/>
      <c r="AC572" s="99">
        <v>0</v>
      </c>
      <c r="AD572" s="99"/>
      <c r="AE572" s="99"/>
      <c r="AF572" s="99">
        <v>0</v>
      </c>
      <c r="AG572" s="99"/>
      <c r="AH572" s="99"/>
      <c r="AI572" s="99">
        <v>0</v>
      </c>
      <c r="AJ572" s="100"/>
      <c r="AK572" s="100"/>
      <c r="AL572" s="101">
        <v>0</v>
      </c>
    </row>
    <row r="573" spans="1:38" x14ac:dyDescent="0.25">
      <c r="A573" s="73" t="s">
        <v>71</v>
      </c>
      <c r="B573" s="6" t="s">
        <v>77</v>
      </c>
      <c r="C573" s="7" t="s">
        <v>44</v>
      </c>
      <c r="D573" s="34" t="s">
        <v>45</v>
      </c>
      <c r="E573" s="102">
        <v>0</v>
      </c>
      <c r="F573" s="103"/>
      <c r="G573" s="103"/>
      <c r="H573" s="104">
        <v>0</v>
      </c>
      <c r="I573" s="104"/>
      <c r="J573" s="104"/>
      <c r="K573" s="104">
        <v>0</v>
      </c>
      <c r="L573" s="104"/>
      <c r="M573" s="104"/>
      <c r="N573" s="104">
        <v>0</v>
      </c>
      <c r="O573" s="104"/>
      <c r="P573" s="104"/>
      <c r="Q573" s="104">
        <v>0</v>
      </c>
      <c r="R573" s="104"/>
      <c r="S573" s="104"/>
      <c r="T573" s="104">
        <v>0</v>
      </c>
      <c r="U573" s="104"/>
      <c r="V573" s="104"/>
      <c r="W573" s="104">
        <v>0</v>
      </c>
      <c r="X573" s="104"/>
      <c r="Y573" s="104"/>
      <c r="Z573" s="104">
        <v>0</v>
      </c>
      <c r="AA573" s="104"/>
      <c r="AB573" s="104"/>
      <c r="AC573" s="104">
        <v>0</v>
      </c>
      <c r="AD573" s="104"/>
      <c r="AE573" s="104"/>
      <c r="AF573" s="104">
        <v>0</v>
      </c>
      <c r="AG573" s="104"/>
      <c r="AH573" s="104"/>
      <c r="AI573" s="104">
        <v>0</v>
      </c>
      <c r="AJ573" s="105"/>
      <c r="AK573" s="105"/>
      <c r="AL573" s="106">
        <v>0</v>
      </c>
    </row>
    <row r="574" spans="1:38" x14ac:dyDescent="0.25">
      <c r="A574" s="73" t="s">
        <v>71</v>
      </c>
      <c r="B574" s="6" t="s">
        <v>77</v>
      </c>
      <c r="C574" s="7" t="s">
        <v>46</v>
      </c>
      <c r="D574" s="34" t="s">
        <v>45</v>
      </c>
      <c r="E574" s="107">
        <v>0</v>
      </c>
      <c r="F574" s="108"/>
      <c r="G574" s="108"/>
      <c r="H574" s="109">
        <v>0</v>
      </c>
      <c r="I574" s="109"/>
      <c r="J574" s="109"/>
      <c r="K574" s="109">
        <v>0</v>
      </c>
      <c r="L574" s="109"/>
      <c r="M574" s="109"/>
      <c r="N574" s="109">
        <v>0</v>
      </c>
      <c r="O574" s="109"/>
      <c r="P574" s="109"/>
      <c r="Q574" s="109">
        <v>0</v>
      </c>
      <c r="R574" s="109"/>
      <c r="S574" s="109"/>
      <c r="T574" s="109">
        <v>0</v>
      </c>
      <c r="U574" s="109"/>
      <c r="V574" s="109"/>
      <c r="W574" s="109">
        <v>0</v>
      </c>
      <c r="X574" s="109"/>
      <c r="Y574" s="109"/>
      <c r="Z574" s="109">
        <v>0</v>
      </c>
      <c r="AA574" s="109"/>
      <c r="AB574" s="109"/>
      <c r="AC574" s="109">
        <v>0</v>
      </c>
      <c r="AD574" s="109"/>
      <c r="AE574" s="109"/>
      <c r="AF574" s="109">
        <v>0</v>
      </c>
      <c r="AG574" s="109"/>
      <c r="AH574" s="109"/>
      <c r="AI574" s="109">
        <v>0</v>
      </c>
      <c r="AJ574" s="110"/>
      <c r="AK574" s="110"/>
      <c r="AL574" s="111">
        <v>0</v>
      </c>
    </row>
    <row r="575" spans="1:38" x14ac:dyDescent="0.25">
      <c r="A575" s="73" t="s">
        <v>71</v>
      </c>
      <c r="B575" s="6" t="s">
        <v>77</v>
      </c>
      <c r="C575" s="7" t="s">
        <v>47</v>
      </c>
      <c r="D575" s="8" t="s">
        <v>23</v>
      </c>
      <c r="E575" s="49">
        <f>IFERROR(+E569/E572,0)</f>
        <v>0</v>
      </c>
      <c r="F575" s="50"/>
      <c r="G575" s="50"/>
      <c r="H575" s="51">
        <f>IFERROR(+H569/H572,0)</f>
        <v>0</v>
      </c>
      <c r="I575" s="52"/>
      <c r="J575" s="52"/>
      <c r="K575" s="51">
        <f>IFERROR(+K569/K572,0)</f>
        <v>0</v>
      </c>
      <c r="L575" s="52"/>
      <c r="M575" s="52"/>
      <c r="N575" s="51">
        <f>IFERROR(+N569/N572,0)</f>
        <v>0</v>
      </c>
      <c r="O575" s="52"/>
      <c r="P575" s="52"/>
      <c r="Q575" s="51">
        <f>IFERROR(+Q569/Q572,0)</f>
        <v>0</v>
      </c>
      <c r="R575" s="52"/>
      <c r="S575" s="52"/>
      <c r="T575" s="51">
        <f>IFERROR(+T569/T572,0)</f>
        <v>0</v>
      </c>
      <c r="U575" s="52"/>
      <c r="V575" s="52"/>
      <c r="W575" s="51">
        <f>IFERROR(+W569/W572,0)</f>
        <v>0</v>
      </c>
      <c r="X575" s="52"/>
      <c r="Y575" s="52"/>
      <c r="Z575" s="51">
        <f>IFERROR(+Z569/Z572,0)</f>
        <v>0</v>
      </c>
      <c r="AA575" s="52"/>
      <c r="AB575" s="52"/>
      <c r="AC575" s="51">
        <f>IFERROR(+AC569/AC572,0)</f>
        <v>0</v>
      </c>
      <c r="AD575" s="52"/>
      <c r="AE575" s="52"/>
      <c r="AF575" s="51">
        <f>IFERROR(+AF569/AF572,0)</f>
        <v>0</v>
      </c>
      <c r="AG575" s="52"/>
      <c r="AH575" s="52"/>
      <c r="AI575" s="51">
        <f>IFERROR(+AI569/AI572,0)</f>
        <v>0</v>
      </c>
      <c r="AJ575" s="53"/>
      <c r="AK575" s="53"/>
      <c r="AL575" s="112">
        <f>IFERROR(+AL569/AL572,0)</f>
        <v>0</v>
      </c>
    </row>
    <row r="576" spans="1:38" x14ac:dyDescent="0.25">
      <c r="A576" s="73" t="s">
        <v>71</v>
      </c>
      <c r="B576" s="6" t="s">
        <v>77</v>
      </c>
      <c r="C576" s="7" t="s">
        <v>48</v>
      </c>
      <c r="D576" s="34" t="s">
        <v>23</v>
      </c>
      <c r="E576" s="49">
        <f>IFERROR(+E570/E573,0)</f>
        <v>0</v>
      </c>
      <c r="F576" s="50"/>
      <c r="G576" s="50"/>
      <c r="H576" s="51">
        <f>IFERROR(+H570/H573,0)</f>
        <v>0</v>
      </c>
      <c r="I576" s="52"/>
      <c r="J576" s="52"/>
      <c r="K576" s="51">
        <f>IFERROR(+K570/K573,0)</f>
        <v>0</v>
      </c>
      <c r="L576" s="52"/>
      <c r="M576" s="52"/>
      <c r="N576" s="51">
        <f>IFERROR(+N570/N573,0)</f>
        <v>0</v>
      </c>
      <c r="O576" s="52"/>
      <c r="P576" s="52"/>
      <c r="Q576" s="51">
        <f>IFERROR(+Q570/Q573,0)</f>
        <v>0</v>
      </c>
      <c r="R576" s="52"/>
      <c r="S576" s="52"/>
      <c r="T576" s="51">
        <f>IFERROR(+T570/T573,0)</f>
        <v>0</v>
      </c>
      <c r="U576" s="52"/>
      <c r="V576" s="52"/>
      <c r="W576" s="51">
        <f>IFERROR(+W570/W573,0)</f>
        <v>0</v>
      </c>
      <c r="X576" s="52"/>
      <c r="Y576" s="52"/>
      <c r="Z576" s="51">
        <f>IFERROR(+Z570/Z573,0)</f>
        <v>0</v>
      </c>
      <c r="AA576" s="52"/>
      <c r="AB576" s="52"/>
      <c r="AC576" s="51">
        <f>IFERROR(+AC570/AC573,0)</f>
        <v>0</v>
      </c>
      <c r="AD576" s="52"/>
      <c r="AE576" s="52"/>
      <c r="AF576" s="51">
        <f>IFERROR(+AF570/AF573,0)</f>
        <v>0</v>
      </c>
      <c r="AG576" s="52"/>
      <c r="AH576" s="52"/>
      <c r="AI576" s="51">
        <f>IFERROR(+AI570/AI573,0)</f>
        <v>0</v>
      </c>
      <c r="AJ576" s="53"/>
      <c r="AK576" s="53"/>
      <c r="AL576" s="112">
        <f>IFERROR(+AL570/AL573,0)</f>
        <v>0</v>
      </c>
    </row>
    <row r="577" spans="1:38" x14ac:dyDescent="0.25">
      <c r="A577" s="73" t="s">
        <v>71</v>
      </c>
      <c r="B577" s="6" t="s">
        <v>77</v>
      </c>
      <c r="C577" s="7" t="s">
        <v>49</v>
      </c>
      <c r="D577" s="34" t="s">
        <v>23</v>
      </c>
      <c r="E577" s="54">
        <f>IFERROR(+E571/E574,0)</f>
        <v>0</v>
      </c>
      <c r="F577" s="55"/>
      <c r="G577" s="55"/>
      <c r="H577" s="56">
        <f>IFERROR(+H571/H574,0)</f>
        <v>0</v>
      </c>
      <c r="I577" s="57"/>
      <c r="J577" s="57"/>
      <c r="K577" s="56">
        <f>IFERROR(+K571/K574,0)</f>
        <v>0</v>
      </c>
      <c r="L577" s="57"/>
      <c r="M577" s="57"/>
      <c r="N577" s="56">
        <f>IFERROR(+N571/N574,0)</f>
        <v>0</v>
      </c>
      <c r="O577" s="57"/>
      <c r="P577" s="57"/>
      <c r="Q577" s="56">
        <f>IFERROR(+Q571/Q574,0)</f>
        <v>0</v>
      </c>
      <c r="R577" s="57"/>
      <c r="S577" s="57"/>
      <c r="T577" s="56">
        <f>IFERROR(+T571/T574,0)</f>
        <v>0</v>
      </c>
      <c r="U577" s="57"/>
      <c r="V577" s="57"/>
      <c r="W577" s="56">
        <f>IFERROR(+W571/W574,0)</f>
        <v>0</v>
      </c>
      <c r="X577" s="57"/>
      <c r="Y577" s="57"/>
      <c r="Z577" s="56">
        <f>IFERROR(+Z571/Z574,0)</f>
        <v>0</v>
      </c>
      <c r="AA577" s="57"/>
      <c r="AB577" s="57"/>
      <c r="AC577" s="56">
        <f>IFERROR(+AC571/AC574,0)</f>
        <v>0</v>
      </c>
      <c r="AD577" s="57"/>
      <c r="AE577" s="57"/>
      <c r="AF577" s="56">
        <f>IFERROR(+AF571/AF574,0)</f>
        <v>0</v>
      </c>
      <c r="AG577" s="57"/>
      <c r="AH577" s="57"/>
      <c r="AI577" s="56">
        <f>IFERROR(+AI571/AI574,0)</f>
        <v>0</v>
      </c>
      <c r="AJ577" s="58"/>
      <c r="AK577" s="58"/>
      <c r="AL577" s="113">
        <f>IFERROR(+AL571/AL574,0)</f>
        <v>0</v>
      </c>
    </row>
    <row r="578" spans="1:38" x14ac:dyDescent="0.25">
      <c r="A578" s="73" t="s">
        <v>71</v>
      </c>
      <c r="B578" s="6" t="s">
        <v>77</v>
      </c>
      <c r="C578" s="7" t="s">
        <v>50</v>
      </c>
      <c r="D578" s="8" t="s">
        <v>23</v>
      </c>
      <c r="E578" s="59">
        <f>+'[1]DEKK AKMERKEZ'!C673</f>
        <v>1139081.3999999999</v>
      </c>
      <c r="F578" s="60"/>
      <c r="G578" s="60"/>
      <c r="H578" s="61">
        <f>+'[1]DEKK AKMERKEZ'!F673</f>
        <v>890600.87</v>
      </c>
      <c r="I578" s="61"/>
      <c r="J578" s="61"/>
      <c r="K578" s="61">
        <f>+'[1]DEKK AKMERKEZ'!I673</f>
        <v>988543.05999999994</v>
      </c>
      <c r="L578" s="61"/>
      <c r="M578" s="61"/>
      <c r="N578" s="61">
        <f>+'[1]DEKK AKMERKEZ'!L673</f>
        <v>1088052.27</v>
      </c>
      <c r="O578" s="61"/>
      <c r="P578" s="61"/>
      <c r="Q578" s="61">
        <f>+'[1]DEKK AKMERKEZ'!O673</f>
        <v>940501.22</v>
      </c>
      <c r="R578" s="61"/>
      <c r="S578" s="61"/>
      <c r="T578" s="61">
        <f>+'[1]DEKK AKMERKEZ'!R673</f>
        <v>955013.16</v>
      </c>
      <c r="U578" s="61"/>
      <c r="V578" s="61"/>
      <c r="W578" s="61">
        <f>+'[1]DEKK AKMERKEZ'!U673</f>
        <v>797027.49000000011</v>
      </c>
      <c r="X578" s="61"/>
      <c r="Y578" s="61"/>
      <c r="Z578" s="61">
        <f>+'[1]DEKK AKMERKEZ'!X673</f>
        <v>0</v>
      </c>
      <c r="AA578" s="61"/>
      <c r="AB578" s="61"/>
      <c r="AC578" s="61">
        <f>+'[1]DEKK AKMERKEZ'!AA673</f>
        <v>0</v>
      </c>
      <c r="AD578" s="61"/>
      <c r="AE578" s="61"/>
      <c r="AF578" s="61">
        <f>+'[1]DEKK AKMERKEZ'!AD673</f>
        <v>0</v>
      </c>
      <c r="AG578" s="61"/>
      <c r="AH578" s="61"/>
      <c r="AI578" s="61">
        <f>+'[1]DEKK AKMERKEZ'!AG673</f>
        <v>0</v>
      </c>
      <c r="AJ578" s="62"/>
      <c r="AK578" s="62"/>
      <c r="AL578" s="114">
        <f>+'[1]DEKK AKMERKEZ'!AJ673</f>
        <v>0</v>
      </c>
    </row>
    <row r="579" spans="1:38" x14ac:dyDescent="0.25">
      <c r="A579" s="73" t="s">
        <v>71</v>
      </c>
      <c r="B579" s="6" t="s">
        <v>77</v>
      </c>
      <c r="C579" s="7" t="s">
        <v>51</v>
      </c>
      <c r="D579" s="8" t="s">
        <v>20</v>
      </c>
      <c r="E579" s="9"/>
      <c r="F579" s="10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2"/>
      <c r="AK579" s="12"/>
      <c r="AL579" s="74"/>
    </row>
    <row r="580" spans="1:38" x14ac:dyDescent="0.25">
      <c r="A580" s="85" t="s">
        <v>71</v>
      </c>
      <c r="B580" s="32" t="s">
        <v>77</v>
      </c>
      <c r="C580" s="33" t="s">
        <v>52</v>
      </c>
      <c r="D580" s="34" t="s">
        <v>23</v>
      </c>
      <c r="E580" s="24">
        <f>+'[1]DEKK AKMERKEZ'!C681</f>
        <v>0</v>
      </c>
      <c r="F580" s="25"/>
      <c r="G580" s="25"/>
      <c r="H580" s="26">
        <f>+'[1]DEKK AKMERKEZ'!F681</f>
        <v>0</v>
      </c>
      <c r="I580" s="26"/>
      <c r="J580" s="26"/>
      <c r="K580" s="26">
        <f>+'[1]DEKK AKMERKEZ'!I681</f>
        <v>0</v>
      </c>
      <c r="L580" s="26"/>
      <c r="M580" s="26"/>
      <c r="N580" s="26">
        <f>+'[1]DEKK AKMERKEZ'!L681</f>
        <v>0</v>
      </c>
      <c r="O580" s="26"/>
      <c r="P580" s="26"/>
      <c r="Q580" s="26">
        <f>+'[1]DEKK AKMERKEZ'!O681</f>
        <v>0</v>
      </c>
      <c r="R580" s="26"/>
      <c r="S580" s="26"/>
      <c r="T580" s="26">
        <f>+'[1]DEKK AKMERKEZ'!R681</f>
        <v>0</v>
      </c>
      <c r="U580" s="26"/>
      <c r="V580" s="26"/>
      <c r="W580" s="26">
        <f>+'[1]DEKK AKMERKEZ'!U681</f>
        <v>0</v>
      </c>
      <c r="X580" s="26"/>
      <c r="Y580" s="26"/>
      <c r="Z580" s="26">
        <f>+'[1]DEKK AKMERKEZ'!X681</f>
        <v>0</v>
      </c>
      <c r="AA580" s="26"/>
      <c r="AB580" s="26"/>
      <c r="AC580" s="26">
        <f>+'[1]DEKK AKMERKEZ'!AA681</f>
        <v>0</v>
      </c>
      <c r="AD580" s="26"/>
      <c r="AE580" s="26"/>
      <c r="AF580" s="26">
        <f>+'[1]DEKK AKMERKEZ'!AD681</f>
        <v>0</v>
      </c>
      <c r="AG580" s="26"/>
      <c r="AH580" s="26"/>
      <c r="AI580" s="26">
        <f>+'[1]DEKK AKMERKEZ'!AG681</f>
        <v>0</v>
      </c>
      <c r="AJ580" s="27"/>
      <c r="AK580" s="27"/>
      <c r="AL580" s="78">
        <f>+'[1]DEKK AKMERKEZ'!AJ681</f>
        <v>0</v>
      </c>
    </row>
    <row r="581" spans="1:38" x14ac:dyDescent="0.25">
      <c r="A581" s="85" t="s">
        <v>71</v>
      </c>
      <c r="B581" s="32" t="s">
        <v>77</v>
      </c>
      <c r="C581" s="33" t="s">
        <v>53</v>
      </c>
      <c r="D581" s="34" t="s">
        <v>23</v>
      </c>
      <c r="E581" s="28">
        <f>+'[1]DEKK AKMERKEZ'!C690-'[1]DEKK AKMERKEZ'!C623-'[1]DEKK AKMERKEZ'!C628-'[1]DEKK AKMERKEZ'!C645-'[1]DEKK AKMERKEZ'!C673-'[1]DEKK AKMERKEZ'!C681</f>
        <v>7678642.7299999986</v>
      </c>
      <c r="F581" s="29"/>
      <c r="G581" s="29"/>
      <c r="H581" s="30">
        <f>+'[1]DEKK AKMERKEZ'!F690-'[1]DEKK AKMERKEZ'!F623-'[1]DEKK AKMERKEZ'!F628-'[1]DEKK AKMERKEZ'!F645-'[1]DEKK AKMERKEZ'!F673-'[1]DEKK AKMERKEZ'!F681</f>
        <v>6330859.4100000011</v>
      </c>
      <c r="I581" s="30"/>
      <c r="J581" s="30"/>
      <c r="K581" s="30">
        <f>+'[1]DEKK AKMERKEZ'!I690-'[1]DEKK AKMERKEZ'!I623-'[1]DEKK AKMERKEZ'!I628-'[1]DEKK AKMERKEZ'!I645-'[1]DEKK AKMERKEZ'!I673-'[1]DEKK AKMERKEZ'!I681</f>
        <v>7020969.3100000015</v>
      </c>
      <c r="L581" s="30"/>
      <c r="M581" s="30"/>
      <c r="N581" s="30">
        <f>+'[1]DEKK AKMERKEZ'!L690-'[1]DEKK AKMERKEZ'!L623-'[1]DEKK AKMERKEZ'!L628-'[1]DEKK AKMERKEZ'!L645-'[1]DEKK AKMERKEZ'!L673-'[1]DEKK AKMERKEZ'!L681</f>
        <v>7853231.8200000003</v>
      </c>
      <c r="O581" s="30"/>
      <c r="P581" s="30"/>
      <c r="Q581" s="30">
        <f>+'[1]DEKK AKMERKEZ'!O690-'[1]DEKK AKMERKEZ'!O623-'[1]DEKK AKMERKEZ'!O628-'[1]DEKK AKMERKEZ'!O645-'[1]DEKK AKMERKEZ'!O673-'[1]DEKK AKMERKEZ'!O681</f>
        <v>6950902.6799999997</v>
      </c>
      <c r="R581" s="30"/>
      <c r="S581" s="30"/>
      <c r="T581" s="30">
        <f>+'[1]DEKK AKMERKEZ'!R690-'[1]DEKK AKMERKEZ'!R623-'[1]DEKK AKMERKEZ'!R628-'[1]DEKK AKMERKEZ'!R645-'[1]DEKK AKMERKEZ'!R673-'[1]DEKK AKMERKEZ'!R681</f>
        <v>7050867.8300000001</v>
      </c>
      <c r="U581" s="30"/>
      <c r="V581" s="30"/>
      <c r="W581" s="30">
        <f>+'[1]DEKK AKMERKEZ'!U690-'[1]DEKK AKMERKEZ'!U623-'[1]DEKK AKMERKEZ'!U628-'[1]DEKK AKMERKEZ'!U645-'[1]DEKK AKMERKEZ'!U673-'[1]DEKK AKMERKEZ'!U681</f>
        <v>5900750.3600000003</v>
      </c>
      <c r="X581" s="30"/>
      <c r="Y581" s="30"/>
      <c r="Z581" s="30">
        <f>+'[1]DEKK AKMERKEZ'!X690-'[1]DEKK AKMERKEZ'!X623-'[1]DEKK AKMERKEZ'!X628-'[1]DEKK AKMERKEZ'!X645-'[1]DEKK AKMERKEZ'!X673-'[1]DEKK AKMERKEZ'!X681</f>
        <v>0</v>
      </c>
      <c r="AA581" s="30"/>
      <c r="AB581" s="30"/>
      <c r="AC581" s="30">
        <f>+'[1]DEKK AKMERKEZ'!AA690-'[1]DEKK AKMERKEZ'!AA623-'[1]DEKK AKMERKEZ'!AA628-'[1]DEKK AKMERKEZ'!AA645-'[1]DEKK AKMERKEZ'!AA673-'[1]DEKK AKMERKEZ'!AA681</f>
        <v>0</v>
      </c>
      <c r="AD581" s="30"/>
      <c r="AE581" s="30"/>
      <c r="AF581" s="30">
        <f>+'[1]DEKK AKMERKEZ'!AD690-'[1]DEKK AKMERKEZ'!AD623-'[1]DEKK AKMERKEZ'!AD628-'[1]DEKK AKMERKEZ'!AD645-'[1]DEKK AKMERKEZ'!AD673-'[1]DEKK AKMERKEZ'!AD681</f>
        <v>0</v>
      </c>
      <c r="AG581" s="30"/>
      <c r="AH581" s="30"/>
      <c r="AI581" s="30">
        <f>+'[1]DEKK AKMERKEZ'!AG690-'[1]DEKK AKMERKEZ'!AG623-'[1]DEKK AKMERKEZ'!AG628-'[1]DEKK AKMERKEZ'!AG645-'[1]DEKK AKMERKEZ'!AG673-'[1]DEKK AKMERKEZ'!AG681</f>
        <v>0</v>
      </c>
      <c r="AJ581" s="31"/>
      <c r="AK581" s="31"/>
      <c r="AL581" s="79">
        <f>+'[1]DEKK AKMERKEZ'!AJ690-'[1]DEKK AKMERKEZ'!AJ623-'[1]DEKK AKMERKEZ'!AJ628-'[1]DEKK AKMERKEZ'!AJ645-'[1]DEKK AKMERKEZ'!AJ673-'[1]DEKK AKMERKEZ'!AJ681</f>
        <v>0</v>
      </c>
    </row>
    <row r="582" spans="1:38" x14ac:dyDescent="0.25">
      <c r="A582" s="85" t="s">
        <v>71</v>
      </c>
      <c r="B582" s="32" t="s">
        <v>77</v>
      </c>
      <c r="C582" s="33" t="s">
        <v>54</v>
      </c>
      <c r="D582" s="34" t="s">
        <v>23</v>
      </c>
      <c r="E582" s="59">
        <f>+E557+E558+E567+E569+E570+E571+E578+E580+E581</f>
        <v>8917522.7499999981</v>
      </c>
      <c r="F582" s="60"/>
      <c r="G582" s="60"/>
      <c r="H582" s="61">
        <f>+H557+H558+H567+H569+H570+H571+H578+H580+H581</f>
        <v>7285117.4500000011</v>
      </c>
      <c r="I582" s="61"/>
      <c r="J582" s="61"/>
      <c r="K582" s="61">
        <f>+K557+K558+K567+K569+K570+K571+K578+K580+K581</f>
        <v>8073118.5000000019</v>
      </c>
      <c r="L582" s="61"/>
      <c r="M582" s="61"/>
      <c r="N582" s="61">
        <f>+N557+N558+N567+N569+N570+N571+N578+N580+N581</f>
        <v>9022620.3000000007</v>
      </c>
      <c r="O582" s="61"/>
      <c r="P582" s="61"/>
      <c r="Q582" s="61">
        <f>+Q557+Q558+Q567+Q569+Q570+Q571+Q578+Q580+Q581</f>
        <v>7952978.3999999994</v>
      </c>
      <c r="R582" s="61"/>
      <c r="S582" s="61"/>
      <c r="T582" s="61">
        <f>+T557+T558+T567+T569+T570+T571+T578+T580+T581</f>
        <v>8066339.7199999997</v>
      </c>
      <c r="U582" s="61"/>
      <c r="V582" s="61"/>
      <c r="W582" s="61">
        <f>+W557+W558+W567+W569+W570+W571+W578+W580+W581</f>
        <v>6729416.7300000004</v>
      </c>
      <c r="X582" s="61"/>
      <c r="Y582" s="61"/>
      <c r="Z582" s="61">
        <f>+Z557+Z558+Z567+Z569+Z570+Z571+Z578+Z580+Z581</f>
        <v>0</v>
      </c>
      <c r="AA582" s="61"/>
      <c r="AB582" s="61"/>
      <c r="AC582" s="61">
        <f>+AC557+AC558+AC567+AC569+AC570+AC571+AC578+AC580+AC581</f>
        <v>0</v>
      </c>
      <c r="AD582" s="61"/>
      <c r="AE582" s="61"/>
      <c r="AF582" s="61">
        <f>+AF557+AF558+AF567+AF569+AF570+AF571+AF578+AF580+AF581</f>
        <v>0</v>
      </c>
      <c r="AG582" s="61"/>
      <c r="AH582" s="61"/>
      <c r="AI582" s="61">
        <f>+AI557+AI558+AI567+AI569+AI570+AI571+AI578+AI580+AI581</f>
        <v>0</v>
      </c>
      <c r="AJ582" s="62"/>
      <c r="AK582" s="62"/>
      <c r="AL582" s="114">
        <f>+AL557+AL558+AL567+AL569+AL570+AL571+AL578+AL580+AL581</f>
        <v>0</v>
      </c>
    </row>
    <row r="583" spans="1:38" ht="15.75" thickBot="1" x14ac:dyDescent="0.3">
      <c r="A583" s="115" t="s">
        <v>71</v>
      </c>
      <c r="B583" s="116" t="s">
        <v>77</v>
      </c>
      <c r="C583" s="117" t="s">
        <v>55</v>
      </c>
      <c r="D583" s="118" t="s">
        <v>23</v>
      </c>
      <c r="E583" s="119">
        <f>+E582-'[1]DEKK AKMERKEZ'!C690</f>
        <v>0</v>
      </c>
      <c r="F583" s="120"/>
      <c r="G583" s="120"/>
      <c r="H583" s="121">
        <f>+H582-'[1]DEKK AKMERKEZ'!F690</f>
        <v>0</v>
      </c>
      <c r="I583" s="121"/>
      <c r="J583" s="121"/>
      <c r="K583" s="121">
        <f>+K582-'[1]DEKK AKMERKEZ'!I690</f>
        <v>0</v>
      </c>
      <c r="L583" s="121"/>
      <c r="M583" s="121"/>
      <c r="N583" s="121">
        <f>+N582-'[1]DEKK AKMERKEZ'!L690</f>
        <v>0</v>
      </c>
      <c r="O583" s="121"/>
      <c r="P583" s="121"/>
      <c r="Q583" s="121">
        <f>+Q582-'[1]DEKK AKMERKEZ'!O690</f>
        <v>0</v>
      </c>
      <c r="R583" s="121"/>
      <c r="S583" s="121"/>
      <c r="T583" s="121">
        <f>+T582-'[1]DEKK AKMERKEZ'!R690</f>
        <v>0</v>
      </c>
      <c r="U583" s="121"/>
      <c r="V583" s="121"/>
      <c r="W583" s="121">
        <f>+W582-'[1]DEKK AKMERKEZ'!U690</f>
        <v>0</v>
      </c>
      <c r="X583" s="121"/>
      <c r="Y583" s="121"/>
      <c r="Z583" s="121">
        <f>+Z582-'[1]DEKK AKMERKEZ'!X690</f>
        <v>0</v>
      </c>
      <c r="AA583" s="121"/>
      <c r="AB583" s="121"/>
      <c r="AC583" s="121">
        <f>+AC582-'[1]DEKK AKMERKEZ'!AA690</f>
        <v>0</v>
      </c>
      <c r="AD583" s="121"/>
      <c r="AE583" s="121"/>
      <c r="AF583" s="121">
        <f>+AF582-'[1]DEKK AKMERKEZ'!AD690</f>
        <v>0</v>
      </c>
      <c r="AG583" s="121"/>
      <c r="AH583" s="121"/>
      <c r="AI583" s="121">
        <f>+AI582-'[1]DEKK AKMERKEZ'!AG690</f>
        <v>0</v>
      </c>
      <c r="AJ583" s="122"/>
      <c r="AK583" s="122"/>
      <c r="AL583" s="123">
        <f>+AL582-'[1]DEKK AKMERKEZ'!AJ690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DEMİR</dc:creator>
  <cp:lastModifiedBy>Oğuz Demir</cp:lastModifiedBy>
  <dcterms:created xsi:type="dcterms:W3CDTF">2026-05-31T13:19:31Z</dcterms:created>
  <dcterms:modified xsi:type="dcterms:W3CDTF">2026-08-10T13:24:40Z</dcterms:modified>
</cp:coreProperties>
</file>